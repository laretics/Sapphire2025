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filterPrivacy="1" codeName="ThisWorkbook" defaultThemeVersion="124226"/>
  <xr:revisionPtr revIDLastSave="0" documentId="13_ncr:1_{5EEB5FE6-E33F-4C5F-8F30-7E91A0104DD6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Hoja1" sheetId="4" r:id="rId1"/>
  </sheets>
  <functionGroups builtInGroupCount="19"/>
  <definedNames>
    <definedName name="_xlnm.Print_Area" localSheetId="0">Hoja1!$A$1:$AS$160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6" i="4" l="1"/>
  <c r="AR31" i="4"/>
  <c r="AP81" i="4"/>
  <c r="C81" i="4"/>
  <c r="AR77" i="4"/>
  <c r="AR21" i="4"/>
  <c r="AR53" i="4"/>
  <c r="AR67" i="4"/>
  <c r="AR66" i="4"/>
  <c r="AR61" i="4"/>
  <c r="AR65" i="4"/>
  <c r="AR56" i="4"/>
  <c r="AR76" i="4"/>
  <c r="AR52" i="4"/>
  <c r="AR75" i="4"/>
  <c r="AR60" i="4"/>
  <c r="AR78" i="4"/>
  <c r="AR54" i="4"/>
  <c r="AR55" i="4"/>
  <c r="AR64" i="4"/>
  <c r="AR74" i="4"/>
  <c r="AR62" i="4"/>
  <c r="AR28" i="4"/>
  <c r="AR57" i="4"/>
  <c r="AR63" i="4"/>
  <c r="AR58" i="4"/>
  <c r="AR71" i="4"/>
  <c r="AR59" i="4"/>
  <c r="AR72" i="4"/>
  <c r="R155" i="4" l="1"/>
  <c r="S155" i="4" s="1"/>
  <c r="T155" i="4" s="1"/>
  <c r="U155" i="4" s="1"/>
  <c r="V155" i="4" s="1"/>
  <c r="W155" i="4" s="1"/>
  <c r="X155" i="4" s="1"/>
  <c r="Y155" i="4" s="1"/>
  <c r="Z155" i="4" s="1"/>
  <c r="AA155" i="4" s="1"/>
  <c r="AB155" i="4" s="1"/>
  <c r="AC155" i="4" s="1"/>
  <c r="AD155" i="4" s="1"/>
  <c r="AE155" i="4" s="1"/>
  <c r="AF155" i="4" s="1"/>
  <c r="AG155" i="4" s="1"/>
  <c r="AH155" i="4" s="1"/>
  <c r="AI155" i="4" s="1"/>
  <c r="AJ155" i="4" s="1"/>
  <c r="AK155" i="4" s="1"/>
  <c r="AL155" i="4" s="1"/>
  <c r="AM155" i="4" s="1"/>
  <c r="AN155" i="4" s="1"/>
  <c r="R152" i="4"/>
  <c r="S152" i="4" s="1"/>
  <c r="T152" i="4" s="1"/>
  <c r="U152" i="4" s="1"/>
  <c r="V152" i="4" s="1"/>
  <c r="W152" i="4" s="1"/>
  <c r="X152" i="4" s="1"/>
  <c r="Y152" i="4" s="1"/>
  <c r="Z152" i="4" s="1"/>
  <c r="AA152" i="4" s="1"/>
  <c r="AB152" i="4" s="1"/>
  <c r="AC152" i="4" s="1"/>
  <c r="AD152" i="4" s="1"/>
  <c r="AE152" i="4" s="1"/>
  <c r="AF152" i="4" s="1"/>
  <c r="AG152" i="4" s="1"/>
  <c r="AH152" i="4" s="1"/>
  <c r="AI152" i="4" s="1"/>
  <c r="AJ152" i="4" s="1"/>
  <c r="AK152" i="4" s="1"/>
  <c r="AL152" i="4" s="1"/>
  <c r="AM152" i="4" s="1"/>
  <c r="AN152" i="4" s="1"/>
  <c r="R149" i="4"/>
  <c r="S149" i="4" s="1"/>
  <c r="T149" i="4" s="1"/>
  <c r="U149" i="4" s="1"/>
  <c r="V149" i="4" s="1"/>
  <c r="W149" i="4" s="1"/>
  <c r="X149" i="4" s="1"/>
  <c r="Y149" i="4" s="1"/>
  <c r="Z149" i="4" s="1"/>
  <c r="AA149" i="4" s="1"/>
  <c r="AB149" i="4" s="1"/>
  <c r="AC149" i="4" s="1"/>
  <c r="AD149" i="4" s="1"/>
  <c r="AE149" i="4" s="1"/>
  <c r="AF149" i="4" s="1"/>
  <c r="AG149" i="4" s="1"/>
  <c r="AH149" i="4" s="1"/>
  <c r="AI149" i="4" s="1"/>
  <c r="AJ149" i="4" s="1"/>
  <c r="AK149" i="4" s="1"/>
  <c r="AL149" i="4" s="1"/>
  <c r="AM149" i="4" s="1"/>
  <c r="AN149" i="4" s="1"/>
  <c r="R146" i="4"/>
  <c r="S146" i="4" s="1"/>
  <c r="T146" i="4" s="1"/>
  <c r="U146" i="4" s="1"/>
  <c r="V146" i="4" s="1"/>
  <c r="W146" i="4" s="1"/>
  <c r="X146" i="4" s="1"/>
  <c r="Y146" i="4" s="1"/>
  <c r="Z146" i="4" s="1"/>
  <c r="AA146" i="4" s="1"/>
  <c r="AB146" i="4" s="1"/>
  <c r="AC146" i="4" s="1"/>
  <c r="AD146" i="4" s="1"/>
  <c r="AE146" i="4" s="1"/>
  <c r="AF146" i="4" s="1"/>
  <c r="AG146" i="4" s="1"/>
  <c r="AH146" i="4" s="1"/>
  <c r="AI146" i="4" s="1"/>
  <c r="AJ146" i="4" s="1"/>
  <c r="AK146" i="4" s="1"/>
  <c r="AL146" i="4" s="1"/>
  <c r="AM146" i="4" s="1"/>
  <c r="AN146" i="4" s="1"/>
  <c r="Q87" i="4"/>
  <c r="R87" i="4" s="1"/>
  <c r="S87" i="4" s="1"/>
  <c r="T87" i="4" s="1"/>
  <c r="U87" i="4" s="1"/>
  <c r="V87" i="4" s="1"/>
  <c r="W87" i="4" s="1"/>
  <c r="X87" i="4" s="1"/>
  <c r="Y87" i="4" s="1"/>
  <c r="Z87" i="4" s="1"/>
  <c r="AA87" i="4" s="1"/>
  <c r="AB87" i="4" s="1"/>
  <c r="AC87" i="4" s="1"/>
  <c r="AD87" i="4" s="1"/>
  <c r="AE87" i="4" s="1"/>
  <c r="AF87" i="4" s="1"/>
  <c r="AG87" i="4" s="1"/>
  <c r="AH87" i="4" s="1"/>
  <c r="AI87" i="4" s="1"/>
  <c r="AJ87" i="4" s="1"/>
  <c r="AK87" i="4" s="1"/>
  <c r="AL87" i="4" s="1"/>
  <c r="AM87" i="4" s="1"/>
  <c r="AN87" i="4" s="1"/>
  <c r="R83" i="4"/>
  <c r="S83" i="4" s="1"/>
  <c r="T83" i="4" s="1"/>
  <c r="U83" i="4" s="1"/>
  <c r="P89" i="4"/>
  <c r="P93" i="4" s="1"/>
  <c r="Q85" i="4"/>
  <c r="R85" i="4" s="1"/>
  <c r="S85" i="4" s="1"/>
  <c r="T85" i="4" s="1"/>
  <c r="U85" i="4" s="1"/>
  <c r="V85" i="4" s="1"/>
  <c r="W85" i="4" s="1"/>
  <c r="X85" i="4" s="1"/>
  <c r="Y85" i="4" s="1"/>
  <c r="Z85" i="4" s="1"/>
  <c r="AA85" i="4" s="1"/>
  <c r="AB85" i="4" s="1"/>
  <c r="AC85" i="4" s="1"/>
  <c r="AD85" i="4" s="1"/>
  <c r="AE85" i="4" s="1"/>
  <c r="AF85" i="4" s="1"/>
  <c r="AG85" i="4" s="1"/>
  <c r="AH85" i="4" s="1"/>
  <c r="AI85" i="4" s="1"/>
  <c r="AJ85" i="4" s="1"/>
  <c r="AK85" i="4" s="1"/>
  <c r="AL85" i="4" s="1"/>
  <c r="AM85" i="4" s="1"/>
  <c r="AN85" i="4" s="1"/>
  <c r="Y157" i="4"/>
  <c r="Z157" i="4" s="1"/>
  <c r="AA157" i="4" s="1"/>
  <c r="AB157" i="4" s="1"/>
  <c r="Y111" i="4"/>
  <c r="Z111" i="4" s="1"/>
  <c r="AA111" i="4" s="1"/>
  <c r="AB111" i="4" s="1"/>
  <c r="AC111" i="4" s="1"/>
  <c r="AD111" i="4" s="1"/>
  <c r="AE111" i="4" s="1"/>
  <c r="AF111" i="4" s="1"/>
  <c r="AG111" i="4" s="1"/>
  <c r="AH111" i="4" s="1"/>
  <c r="AI111" i="4" s="1"/>
  <c r="AJ111" i="4" s="1"/>
  <c r="AK111" i="4" s="1"/>
  <c r="AL111" i="4" s="1"/>
  <c r="AM111" i="4" s="1"/>
  <c r="AN111" i="4" s="1"/>
  <c r="Y88" i="4"/>
  <c r="Z88" i="4" s="1"/>
  <c r="AA88" i="4" s="1"/>
  <c r="AB88" i="4" s="1"/>
  <c r="AC88" i="4" s="1"/>
  <c r="AD88" i="4" s="1"/>
  <c r="AE88" i="4" s="1"/>
  <c r="AF88" i="4" s="1"/>
  <c r="AG88" i="4" s="1"/>
  <c r="AH88" i="4" s="1"/>
  <c r="AI88" i="4" s="1"/>
  <c r="AJ88" i="4" s="1"/>
  <c r="AK88" i="4" s="1"/>
  <c r="AL88" i="4" s="1"/>
  <c r="AM88" i="4" s="1"/>
  <c r="AN88" i="4" s="1"/>
  <c r="Y86" i="4"/>
  <c r="Z86" i="4" s="1"/>
  <c r="AA86" i="4" s="1"/>
  <c r="AB86" i="4" s="1"/>
  <c r="AC86" i="4" s="1"/>
  <c r="AD86" i="4" s="1"/>
  <c r="AE86" i="4" s="1"/>
  <c r="AF86" i="4" s="1"/>
  <c r="AG86" i="4" s="1"/>
  <c r="AH86" i="4" s="1"/>
  <c r="AI86" i="4" s="1"/>
  <c r="AJ86" i="4" s="1"/>
  <c r="AK86" i="4" s="1"/>
  <c r="AL86" i="4" s="1"/>
  <c r="AM86" i="4" s="1"/>
  <c r="AN86" i="4" s="1"/>
  <c r="Y84" i="4"/>
  <c r="Z84" i="4" s="1"/>
  <c r="AA84" i="4" s="1"/>
  <c r="AB84" i="4" s="1"/>
  <c r="AC84" i="4" s="1"/>
  <c r="AD84" i="4" s="1"/>
  <c r="AE84" i="4" s="1"/>
  <c r="AF84" i="4" s="1"/>
  <c r="AG84" i="4" s="1"/>
  <c r="AH84" i="4" s="1"/>
  <c r="AI84" i="4" s="1"/>
  <c r="AJ84" i="4" s="1"/>
  <c r="AK84" i="4" s="1"/>
  <c r="AL84" i="4" s="1"/>
  <c r="AM84" i="4" s="1"/>
  <c r="AN84" i="4" s="1"/>
  <c r="Y82" i="4"/>
  <c r="Z82" i="4" s="1"/>
  <c r="AA82" i="4" s="1"/>
  <c r="Q6" i="4"/>
  <c r="Q91" i="4" l="1"/>
  <c r="V83" i="4"/>
  <c r="W83" i="4" s="1"/>
  <c r="X83" i="4" s="1"/>
  <c r="Y83" i="4" s="1"/>
  <c r="Z83" i="4" s="1"/>
  <c r="AA83" i="4" s="1"/>
  <c r="AB83" i="4" s="1"/>
  <c r="AC83" i="4" s="1"/>
  <c r="AD83" i="4" s="1"/>
  <c r="AE83" i="4" s="1"/>
  <c r="AF83" i="4" s="1"/>
  <c r="AG83" i="4" s="1"/>
  <c r="AH83" i="4" s="1"/>
  <c r="AI83" i="4" s="1"/>
  <c r="AJ83" i="4" s="1"/>
  <c r="AK83" i="4" s="1"/>
  <c r="AL83" i="4" s="1"/>
  <c r="AM83" i="4" s="1"/>
  <c r="AN83" i="4" s="1"/>
  <c r="Q93" i="4"/>
  <c r="R93" i="4" s="1"/>
  <c r="S93" i="4" s="1"/>
  <c r="T93" i="4" s="1"/>
  <c r="U93" i="4" s="1"/>
  <c r="V93" i="4" s="1"/>
  <c r="W93" i="4" s="1"/>
  <c r="X93" i="4" s="1"/>
  <c r="Y93" i="4" s="1"/>
  <c r="Z93" i="4" s="1"/>
  <c r="AA93" i="4" s="1"/>
  <c r="AB93" i="4" s="1"/>
  <c r="AC93" i="4" s="1"/>
  <c r="AD93" i="4" s="1"/>
  <c r="AE93" i="4" s="1"/>
  <c r="AF93" i="4" s="1"/>
  <c r="AG93" i="4" s="1"/>
  <c r="AH93" i="4" s="1"/>
  <c r="AI93" i="4" s="1"/>
  <c r="AJ93" i="4" s="1"/>
  <c r="AK93" i="4" s="1"/>
  <c r="AL93" i="4" s="1"/>
  <c r="AM93" i="4" s="1"/>
  <c r="AN93" i="4" s="1"/>
  <c r="P97" i="4"/>
  <c r="P101" i="4" s="1"/>
  <c r="P104" i="4" s="1"/>
  <c r="P106" i="4" s="1"/>
  <c r="Q89" i="4"/>
  <c r="R89" i="4" s="1"/>
  <c r="S89" i="4" s="1"/>
  <c r="T89" i="4" s="1"/>
  <c r="U89" i="4" s="1"/>
  <c r="V89" i="4" s="1"/>
  <c r="W89" i="4" s="1"/>
  <c r="X89" i="4" s="1"/>
  <c r="Y89" i="4" s="1"/>
  <c r="Z89" i="4" s="1"/>
  <c r="AA89" i="4" s="1"/>
  <c r="AB89" i="4" s="1"/>
  <c r="AC89" i="4" s="1"/>
  <c r="AD89" i="4" s="1"/>
  <c r="AE89" i="4" s="1"/>
  <c r="AF89" i="4" s="1"/>
  <c r="AG89" i="4" s="1"/>
  <c r="AH89" i="4" s="1"/>
  <c r="AI89" i="4" s="1"/>
  <c r="AJ89" i="4" s="1"/>
  <c r="AK89" i="4" s="1"/>
  <c r="AL89" i="4" s="1"/>
  <c r="AM89" i="4" s="1"/>
  <c r="AN89" i="4" s="1"/>
  <c r="AC157" i="4"/>
  <c r="AD157" i="4" s="1"/>
  <c r="AE157" i="4" s="1"/>
  <c r="AF157" i="4" s="1"/>
  <c r="AG157" i="4" s="1"/>
  <c r="AH157" i="4" s="1"/>
  <c r="AB82" i="4"/>
  <c r="AC82" i="4" s="1"/>
  <c r="AD82" i="4" s="1"/>
  <c r="AE82" i="4" s="1"/>
  <c r="AF82" i="4" s="1"/>
  <c r="AG82" i="4" s="1"/>
  <c r="AH82" i="4" s="1"/>
  <c r="AI82" i="4" s="1"/>
  <c r="AJ82" i="4" s="1"/>
  <c r="AK82" i="4" s="1"/>
  <c r="AL82" i="4" s="1"/>
  <c r="AM82" i="4" s="1"/>
  <c r="AN82" i="4" s="1"/>
  <c r="Q97" i="4" l="1"/>
  <c r="R97" i="4" s="1"/>
  <c r="S97" i="4" s="1"/>
  <c r="T97" i="4" s="1"/>
  <c r="U97" i="4" s="1"/>
  <c r="V97" i="4" s="1"/>
  <c r="W97" i="4" s="1"/>
  <c r="X97" i="4" s="1"/>
  <c r="Y97" i="4" s="1"/>
  <c r="Z97" i="4" s="1"/>
  <c r="AA97" i="4" s="1"/>
  <c r="AB97" i="4" s="1"/>
  <c r="AC97" i="4" s="1"/>
  <c r="AD97" i="4" s="1"/>
  <c r="AE97" i="4" s="1"/>
  <c r="AF97" i="4" s="1"/>
  <c r="AG97" i="4" s="1"/>
  <c r="AH97" i="4" s="1"/>
  <c r="AI97" i="4" s="1"/>
  <c r="AJ97" i="4" s="1"/>
  <c r="AK97" i="4" s="1"/>
  <c r="AL97" i="4" s="1"/>
  <c r="AM97" i="4" s="1"/>
  <c r="AN97" i="4" s="1"/>
  <c r="Q104" i="4"/>
  <c r="R104" i="4" s="1"/>
  <c r="S104" i="4" s="1"/>
  <c r="T104" i="4" s="1"/>
  <c r="U104" i="4" s="1"/>
  <c r="V104" i="4" s="1"/>
  <c r="W104" i="4" s="1"/>
  <c r="X104" i="4" s="1"/>
  <c r="Y104" i="4" s="1"/>
  <c r="Z104" i="4" s="1"/>
  <c r="AA104" i="4" s="1"/>
  <c r="AB104" i="4" s="1"/>
  <c r="AC104" i="4" s="1"/>
  <c r="AD104" i="4" s="1"/>
  <c r="AE104" i="4" s="1"/>
  <c r="AF104" i="4" s="1"/>
  <c r="AG104" i="4" s="1"/>
  <c r="AH104" i="4" s="1"/>
  <c r="AI104" i="4" s="1"/>
  <c r="AJ104" i="4" s="1"/>
  <c r="AK104" i="4" s="1"/>
  <c r="AL104" i="4" s="1"/>
  <c r="AM104" i="4" s="1"/>
  <c r="AN104" i="4" s="1"/>
  <c r="R91" i="4"/>
  <c r="S91" i="4" s="1"/>
  <c r="T91" i="4" s="1"/>
  <c r="U91" i="4" s="1"/>
  <c r="V91" i="4" s="1"/>
  <c r="W91" i="4" s="1"/>
  <c r="X91" i="4" s="1"/>
  <c r="Y91" i="4" s="1"/>
  <c r="Z91" i="4" s="1"/>
  <c r="AA91" i="4" s="1"/>
  <c r="AB91" i="4" s="1"/>
  <c r="AC91" i="4" s="1"/>
  <c r="AD91" i="4" s="1"/>
  <c r="AE91" i="4" s="1"/>
  <c r="AF91" i="4" s="1"/>
  <c r="AG91" i="4" s="1"/>
  <c r="AH91" i="4" s="1"/>
  <c r="AI91" i="4" s="1"/>
  <c r="AJ91" i="4" s="1"/>
  <c r="AK91" i="4" s="1"/>
  <c r="AL91" i="4" s="1"/>
  <c r="AM91" i="4" s="1"/>
  <c r="AN91" i="4" s="1"/>
  <c r="Q95" i="4"/>
  <c r="Q106" i="4"/>
  <c r="R106" i="4" s="1"/>
  <c r="S106" i="4" s="1"/>
  <c r="T106" i="4" s="1"/>
  <c r="U106" i="4" s="1"/>
  <c r="V106" i="4" s="1"/>
  <c r="W106" i="4" s="1"/>
  <c r="X106" i="4" s="1"/>
  <c r="Y106" i="4" s="1"/>
  <c r="Z106" i="4" s="1"/>
  <c r="AA106" i="4" s="1"/>
  <c r="AB106" i="4" s="1"/>
  <c r="AC106" i="4" s="1"/>
  <c r="AD106" i="4" s="1"/>
  <c r="AE106" i="4" s="1"/>
  <c r="AF106" i="4" s="1"/>
  <c r="AG106" i="4" s="1"/>
  <c r="AH106" i="4" s="1"/>
  <c r="AI106" i="4" s="1"/>
  <c r="AJ106" i="4" s="1"/>
  <c r="AK106" i="4" s="1"/>
  <c r="AL106" i="4" s="1"/>
  <c r="AM106" i="4" s="1"/>
  <c r="AN106" i="4" s="1"/>
  <c r="P108" i="4"/>
  <c r="AI157" i="4"/>
  <c r="AJ157" i="4" s="1"/>
  <c r="AK157" i="4" s="1"/>
  <c r="Q99" i="4" l="1"/>
  <c r="R95" i="4"/>
  <c r="S95" i="4" s="1"/>
  <c r="T95" i="4" s="1"/>
  <c r="U95" i="4" s="1"/>
  <c r="V95" i="4" s="1"/>
  <c r="W95" i="4" s="1"/>
  <c r="X95" i="4" s="1"/>
  <c r="Y95" i="4" s="1"/>
  <c r="Z95" i="4" s="1"/>
  <c r="AA95" i="4" s="1"/>
  <c r="AB95" i="4" s="1"/>
  <c r="AC95" i="4" s="1"/>
  <c r="AD95" i="4" s="1"/>
  <c r="AE95" i="4" s="1"/>
  <c r="AF95" i="4" s="1"/>
  <c r="AG95" i="4" s="1"/>
  <c r="AH95" i="4" s="1"/>
  <c r="AI95" i="4" s="1"/>
  <c r="AJ95" i="4" s="1"/>
  <c r="AK95" i="4" s="1"/>
  <c r="AL95" i="4" s="1"/>
  <c r="AM95" i="4" s="1"/>
  <c r="AN95" i="4" s="1"/>
  <c r="AL157" i="4"/>
  <c r="AM157" i="4" s="1"/>
  <c r="AN157" i="4" s="1"/>
  <c r="P110" i="4"/>
  <c r="Q110" i="4" s="1"/>
  <c r="Q108" i="4"/>
  <c r="R108" i="4" s="1"/>
  <c r="S108" i="4" s="1"/>
  <c r="T108" i="4" s="1"/>
  <c r="U108" i="4" s="1"/>
  <c r="V108" i="4" s="1"/>
  <c r="W108" i="4" s="1"/>
  <c r="X108" i="4" s="1"/>
  <c r="Y108" i="4" s="1"/>
  <c r="Z108" i="4" s="1"/>
  <c r="AA108" i="4" s="1"/>
  <c r="AB108" i="4" s="1"/>
  <c r="AC108" i="4" s="1"/>
  <c r="AD108" i="4" s="1"/>
  <c r="AE108" i="4" s="1"/>
  <c r="AF108" i="4" s="1"/>
  <c r="AG108" i="4" s="1"/>
  <c r="AH108" i="4" s="1"/>
  <c r="AI108" i="4" s="1"/>
  <c r="AJ108" i="4" s="1"/>
  <c r="AK108" i="4" s="1"/>
  <c r="AL108" i="4" s="1"/>
  <c r="AM108" i="4" s="1"/>
  <c r="AN108" i="4" s="1"/>
  <c r="R99" i="4" l="1"/>
  <c r="S99" i="4" s="1"/>
  <c r="T99" i="4" s="1"/>
  <c r="U99" i="4" s="1"/>
  <c r="V99" i="4" s="1"/>
  <c r="W99" i="4" s="1"/>
  <c r="X99" i="4" s="1"/>
  <c r="Y99" i="4" s="1"/>
  <c r="Z99" i="4" s="1"/>
  <c r="AA99" i="4" s="1"/>
  <c r="AB99" i="4" s="1"/>
  <c r="AC99" i="4" s="1"/>
  <c r="AD99" i="4" s="1"/>
  <c r="AE99" i="4" s="1"/>
  <c r="AF99" i="4" s="1"/>
  <c r="AG99" i="4" s="1"/>
  <c r="AH99" i="4" s="1"/>
  <c r="AI99" i="4" s="1"/>
  <c r="AJ99" i="4" s="1"/>
  <c r="AK99" i="4" s="1"/>
  <c r="AL99" i="4" s="1"/>
  <c r="AM99" i="4" s="1"/>
  <c r="AN99" i="4" s="1"/>
  <c r="Q103" i="4"/>
  <c r="P113" i="4"/>
  <c r="R110" i="4"/>
  <c r="R103" i="4" l="1"/>
  <c r="S103" i="4" s="1"/>
  <c r="T103" i="4" s="1"/>
  <c r="U103" i="4" s="1"/>
  <c r="V103" i="4" s="1"/>
  <c r="W103" i="4" s="1"/>
  <c r="X103" i="4" s="1"/>
  <c r="Y103" i="4" s="1"/>
  <c r="Z103" i="4" s="1"/>
  <c r="AA103" i="4" s="1"/>
  <c r="AB103" i="4" s="1"/>
  <c r="AC103" i="4" s="1"/>
  <c r="AD103" i="4" s="1"/>
  <c r="AE103" i="4" s="1"/>
  <c r="AF103" i="4" s="1"/>
  <c r="AG103" i="4" s="1"/>
  <c r="AH103" i="4" s="1"/>
  <c r="AI103" i="4" s="1"/>
  <c r="AJ103" i="4" s="1"/>
  <c r="AK103" i="4" s="1"/>
  <c r="AL103" i="4" s="1"/>
  <c r="AM103" i="4" s="1"/>
  <c r="AN103" i="4" s="1"/>
  <c r="Q105" i="4"/>
  <c r="S110" i="4"/>
  <c r="T110" i="4" s="1"/>
  <c r="U110" i="4" s="1"/>
  <c r="V110" i="4" s="1"/>
  <c r="W110" i="4" s="1"/>
  <c r="X110" i="4" s="1"/>
  <c r="Y110" i="4" s="1"/>
  <c r="Z110" i="4" s="1"/>
  <c r="AA110" i="4" s="1"/>
  <c r="AB110" i="4" s="1"/>
  <c r="AC110" i="4" s="1"/>
  <c r="AD110" i="4" s="1"/>
  <c r="AE110" i="4" s="1"/>
  <c r="AF110" i="4" s="1"/>
  <c r="AG110" i="4" s="1"/>
  <c r="AH110" i="4" s="1"/>
  <c r="AI110" i="4" s="1"/>
  <c r="AJ110" i="4" s="1"/>
  <c r="AK110" i="4" s="1"/>
  <c r="AL110" i="4" s="1"/>
  <c r="AM110" i="4" s="1"/>
  <c r="AN110" i="4" s="1"/>
  <c r="Q113" i="4"/>
  <c r="R113" i="4" s="1"/>
  <c r="S113" i="4" s="1"/>
  <c r="T113" i="4" s="1"/>
  <c r="U113" i="4" s="1"/>
  <c r="V113" i="4" s="1"/>
  <c r="W113" i="4" s="1"/>
  <c r="X113" i="4" s="1"/>
  <c r="Y113" i="4" s="1"/>
  <c r="Z113" i="4" s="1"/>
  <c r="AA113" i="4" s="1"/>
  <c r="AB113" i="4" s="1"/>
  <c r="AC113" i="4" s="1"/>
  <c r="AD113" i="4" s="1"/>
  <c r="AE113" i="4" s="1"/>
  <c r="AF113" i="4" s="1"/>
  <c r="AG113" i="4" s="1"/>
  <c r="AH113" i="4" s="1"/>
  <c r="AI113" i="4" s="1"/>
  <c r="AJ113" i="4" s="1"/>
  <c r="AK113" i="4" s="1"/>
  <c r="AL113" i="4" s="1"/>
  <c r="AM113" i="4" s="1"/>
  <c r="AN113" i="4" s="1"/>
  <c r="P117" i="4"/>
  <c r="Q107" i="4" l="1"/>
  <c r="R105" i="4"/>
  <c r="S105" i="4" s="1"/>
  <c r="T105" i="4" s="1"/>
  <c r="U105" i="4" s="1"/>
  <c r="V105" i="4" s="1"/>
  <c r="W105" i="4" s="1"/>
  <c r="X105" i="4" s="1"/>
  <c r="Y105" i="4" s="1"/>
  <c r="Z105" i="4" s="1"/>
  <c r="AA105" i="4" s="1"/>
  <c r="AB105" i="4" s="1"/>
  <c r="AC105" i="4" s="1"/>
  <c r="AD105" i="4" s="1"/>
  <c r="AE105" i="4" s="1"/>
  <c r="AF105" i="4" s="1"/>
  <c r="AG105" i="4" s="1"/>
  <c r="AH105" i="4" s="1"/>
  <c r="AI105" i="4" s="1"/>
  <c r="AJ105" i="4" s="1"/>
  <c r="AK105" i="4" s="1"/>
  <c r="AL105" i="4" s="1"/>
  <c r="AM105" i="4" s="1"/>
  <c r="AN105" i="4" s="1"/>
  <c r="Q117" i="4"/>
  <c r="R117" i="4" s="1"/>
  <c r="P123" i="4"/>
  <c r="Q109" i="4" l="1"/>
  <c r="R107" i="4"/>
  <c r="S107" i="4" s="1"/>
  <c r="T107" i="4" s="1"/>
  <c r="U107" i="4" s="1"/>
  <c r="V107" i="4" s="1"/>
  <c r="W107" i="4" s="1"/>
  <c r="X107" i="4" s="1"/>
  <c r="Y107" i="4" s="1"/>
  <c r="Z107" i="4" s="1"/>
  <c r="AA107" i="4" s="1"/>
  <c r="AB107" i="4" s="1"/>
  <c r="AC107" i="4" s="1"/>
  <c r="AD107" i="4" s="1"/>
  <c r="AE107" i="4" s="1"/>
  <c r="AF107" i="4" s="1"/>
  <c r="AG107" i="4" s="1"/>
  <c r="AH107" i="4" s="1"/>
  <c r="AI107" i="4" s="1"/>
  <c r="AJ107" i="4" s="1"/>
  <c r="AK107" i="4" s="1"/>
  <c r="AL107" i="4" s="1"/>
  <c r="AM107" i="4" s="1"/>
  <c r="AN107" i="4" s="1"/>
  <c r="Q123" i="4"/>
  <c r="R123" i="4" s="1"/>
  <c r="S123" i="4" s="1"/>
  <c r="T123" i="4" s="1"/>
  <c r="U123" i="4" s="1"/>
  <c r="V123" i="4" s="1"/>
  <c r="W123" i="4" s="1"/>
  <c r="X123" i="4" s="1"/>
  <c r="Y123" i="4" s="1"/>
  <c r="Z123" i="4" s="1"/>
  <c r="AA123" i="4" s="1"/>
  <c r="AB123" i="4" s="1"/>
  <c r="AC123" i="4" s="1"/>
  <c r="AD123" i="4" s="1"/>
  <c r="AE123" i="4" s="1"/>
  <c r="AF123" i="4" s="1"/>
  <c r="AG123" i="4" s="1"/>
  <c r="AH123" i="4" s="1"/>
  <c r="AI123" i="4" s="1"/>
  <c r="AJ123" i="4" s="1"/>
  <c r="AK123" i="4" s="1"/>
  <c r="AL123" i="4" s="1"/>
  <c r="AM123" i="4" s="1"/>
  <c r="AN123" i="4" s="1"/>
  <c r="P127" i="4"/>
  <c r="S117" i="4"/>
  <c r="T117" i="4" s="1"/>
  <c r="U117" i="4" s="1"/>
  <c r="V117" i="4" s="1"/>
  <c r="W117" i="4" s="1"/>
  <c r="X117" i="4" s="1"/>
  <c r="Y117" i="4" s="1"/>
  <c r="Z117" i="4" s="1"/>
  <c r="AA117" i="4" s="1"/>
  <c r="AB117" i="4" s="1"/>
  <c r="AC117" i="4" s="1"/>
  <c r="AD117" i="4" s="1"/>
  <c r="AE117" i="4" s="1"/>
  <c r="AF117" i="4" s="1"/>
  <c r="AG117" i="4" s="1"/>
  <c r="AH117" i="4" s="1"/>
  <c r="AI117" i="4" s="1"/>
  <c r="AJ117" i="4" s="1"/>
  <c r="AK117" i="4" s="1"/>
  <c r="AL117" i="4" s="1"/>
  <c r="AM117" i="4" s="1"/>
  <c r="AN117" i="4" s="1"/>
  <c r="Q112" i="4" l="1"/>
  <c r="R109" i="4"/>
  <c r="S109" i="4" s="1"/>
  <c r="T109" i="4" s="1"/>
  <c r="U109" i="4" s="1"/>
  <c r="V109" i="4" s="1"/>
  <c r="W109" i="4" s="1"/>
  <c r="X109" i="4" s="1"/>
  <c r="Y109" i="4" s="1"/>
  <c r="Z109" i="4" s="1"/>
  <c r="AA109" i="4" s="1"/>
  <c r="AB109" i="4" s="1"/>
  <c r="AC109" i="4" s="1"/>
  <c r="AD109" i="4" s="1"/>
  <c r="AE109" i="4" s="1"/>
  <c r="AF109" i="4" s="1"/>
  <c r="AG109" i="4" s="1"/>
  <c r="AH109" i="4" s="1"/>
  <c r="AI109" i="4" s="1"/>
  <c r="AJ109" i="4" s="1"/>
  <c r="AK109" i="4" s="1"/>
  <c r="AL109" i="4" s="1"/>
  <c r="AM109" i="4" s="1"/>
  <c r="AN109" i="4" s="1"/>
  <c r="P131" i="4"/>
  <c r="Q127" i="4"/>
  <c r="R127" i="4" s="1"/>
  <c r="S127" i="4" s="1"/>
  <c r="T127" i="4" s="1"/>
  <c r="U127" i="4" s="1"/>
  <c r="V127" i="4" s="1"/>
  <c r="W127" i="4" s="1"/>
  <c r="X127" i="4" s="1"/>
  <c r="Y127" i="4" s="1"/>
  <c r="Z127" i="4" s="1"/>
  <c r="AA127" i="4" s="1"/>
  <c r="AB127" i="4" s="1"/>
  <c r="AC127" i="4" s="1"/>
  <c r="AD127" i="4" s="1"/>
  <c r="AE127" i="4" s="1"/>
  <c r="AF127" i="4" s="1"/>
  <c r="AG127" i="4" s="1"/>
  <c r="AH127" i="4" s="1"/>
  <c r="AI127" i="4" s="1"/>
  <c r="AJ127" i="4" s="1"/>
  <c r="AK127" i="4" s="1"/>
  <c r="AL127" i="4" s="1"/>
  <c r="AM127" i="4" s="1"/>
  <c r="AN127" i="4" s="1"/>
  <c r="Q131" i="4" l="1"/>
  <c r="R131" i="4" s="1"/>
  <c r="S131" i="4" s="1"/>
  <c r="T131" i="4" s="1"/>
  <c r="U131" i="4" s="1"/>
  <c r="V131" i="4" s="1"/>
  <c r="W131" i="4" s="1"/>
  <c r="X131" i="4" s="1"/>
  <c r="Y131" i="4" s="1"/>
  <c r="Z131" i="4" s="1"/>
  <c r="AA131" i="4" s="1"/>
  <c r="AB131" i="4" s="1"/>
  <c r="AC131" i="4" s="1"/>
  <c r="AD131" i="4" s="1"/>
  <c r="AE131" i="4" s="1"/>
  <c r="AF131" i="4" s="1"/>
  <c r="AG131" i="4" s="1"/>
  <c r="AH131" i="4" s="1"/>
  <c r="AI131" i="4" s="1"/>
  <c r="AJ131" i="4" s="1"/>
  <c r="AK131" i="4" s="1"/>
  <c r="AL131" i="4" s="1"/>
  <c r="AM131" i="4" s="1"/>
  <c r="AN131" i="4" s="1"/>
  <c r="P135" i="4"/>
  <c r="Q135" i="4" s="1"/>
  <c r="R135" i="4" s="1"/>
  <c r="S135" i="4" s="1"/>
  <c r="T135" i="4" s="1"/>
  <c r="U135" i="4" s="1"/>
  <c r="V135" i="4" s="1"/>
  <c r="W135" i="4" s="1"/>
  <c r="X135" i="4" s="1"/>
  <c r="Y135" i="4" s="1"/>
  <c r="Z135" i="4" s="1"/>
  <c r="AA135" i="4" s="1"/>
  <c r="AB135" i="4" s="1"/>
  <c r="AC135" i="4" s="1"/>
  <c r="AD135" i="4" s="1"/>
  <c r="AE135" i="4" s="1"/>
  <c r="AF135" i="4" s="1"/>
  <c r="AG135" i="4" s="1"/>
  <c r="AH135" i="4" s="1"/>
  <c r="AI135" i="4" s="1"/>
  <c r="AJ135" i="4" s="1"/>
  <c r="AK135" i="4" s="1"/>
  <c r="AL135" i="4" s="1"/>
  <c r="AM135" i="4" s="1"/>
  <c r="AN135" i="4" s="1"/>
  <c r="Q115" i="4"/>
  <c r="R112" i="4"/>
  <c r="S112" i="4" s="1"/>
  <c r="T112" i="4" s="1"/>
  <c r="U112" i="4" s="1"/>
  <c r="V112" i="4" s="1"/>
  <c r="W112" i="4" s="1"/>
  <c r="X112" i="4" s="1"/>
  <c r="Y112" i="4" s="1"/>
  <c r="Z112" i="4" s="1"/>
  <c r="AA112" i="4" s="1"/>
  <c r="AB112" i="4" s="1"/>
  <c r="AC112" i="4" s="1"/>
  <c r="AD112" i="4" s="1"/>
  <c r="AE112" i="4" s="1"/>
  <c r="AF112" i="4" s="1"/>
  <c r="AG112" i="4" s="1"/>
  <c r="AH112" i="4" s="1"/>
  <c r="AI112" i="4" s="1"/>
  <c r="AJ112" i="4" s="1"/>
  <c r="AK112" i="4" s="1"/>
  <c r="AL112" i="4" s="1"/>
  <c r="AM112" i="4" s="1"/>
  <c r="AN112" i="4" s="1"/>
  <c r="P139" i="4" l="1"/>
  <c r="P143" i="4" s="1"/>
  <c r="P145" i="4" s="1"/>
  <c r="Q121" i="4"/>
  <c r="R115" i="4"/>
  <c r="S115" i="4" s="1"/>
  <c r="T115" i="4" s="1"/>
  <c r="U115" i="4" s="1"/>
  <c r="V115" i="4" s="1"/>
  <c r="W115" i="4" s="1"/>
  <c r="X115" i="4" s="1"/>
  <c r="Y115" i="4" s="1"/>
  <c r="Z115" i="4" s="1"/>
  <c r="AA115" i="4" s="1"/>
  <c r="AB115" i="4" s="1"/>
  <c r="AC115" i="4" s="1"/>
  <c r="AD115" i="4" s="1"/>
  <c r="AE115" i="4" s="1"/>
  <c r="AF115" i="4" s="1"/>
  <c r="AG115" i="4" s="1"/>
  <c r="AH115" i="4" s="1"/>
  <c r="AI115" i="4" s="1"/>
  <c r="AJ115" i="4" s="1"/>
  <c r="AK115" i="4" s="1"/>
  <c r="AL115" i="4" s="1"/>
  <c r="AM115" i="4" s="1"/>
  <c r="AN115" i="4" s="1"/>
  <c r="P148" i="4" l="1"/>
  <c r="Q145" i="4"/>
  <c r="R145" i="4" s="1"/>
  <c r="S145" i="4" s="1"/>
  <c r="T145" i="4" s="1"/>
  <c r="U145" i="4" s="1"/>
  <c r="V145" i="4" s="1"/>
  <c r="W145" i="4" s="1"/>
  <c r="X145" i="4" s="1"/>
  <c r="Y145" i="4" s="1"/>
  <c r="Z145" i="4" s="1"/>
  <c r="AA145" i="4" s="1"/>
  <c r="AB145" i="4" s="1"/>
  <c r="AC145" i="4" s="1"/>
  <c r="AD145" i="4" s="1"/>
  <c r="AE145" i="4" s="1"/>
  <c r="AF145" i="4" s="1"/>
  <c r="AG145" i="4" s="1"/>
  <c r="AH145" i="4" s="1"/>
  <c r="AI145" i="4" s="1"/>
  <c r="AJ145" i="4" s="1"/>
  <c r="AK145" i="4" s="1"/>
  <c r="AL145" i="4" s="1"/>
  <c r="AM145" i="4" s="1"/>
  <c r="AN145" i="4" s="1"/>
  <c r="Q139" i="4"/>
  <c r="R139" i="4" s="1"/>
  <c r="S139" i="4" s="1"/>
  <c r="T139" i="4" s="1"/>
  <c r="U139" i="4" s="1"/>
  <c r="V139" i="4" s="1"/>
  <c r="W139" i="4" s="1"/>
  <c r="X139" i="4" s="1"/>
  <c r="Y139" i="4" s="1"/>
  <c r="Z139" i="4" s="1"/>
  <c r="AA139" i="4" s="1"/>
  <c r="AB139" i="4" s="1"/>
  <c r="AC139" i="4" s="1"/>
  <c r="AD139" i="4" s="1"/>
  <c r="AE139" i="4" s="1"/>
  <c r="AF139" i="4" s="1"/>
  <c r="AG139" i="4" s="1"/>
  <c r="AH139" i="4" s="1"/>
  <c r="AI139" i="4" s="1"/>
  <c r="AJ139" i="4" s="1"/>
  <c r="AK139" i="4" s="1"/>
  <c r="AL139" i="4" s="1"/>
  <c r="AM139" i="4" s="1"/>
  <c r="AN139" i="4" s="1"/>
  <c r="R121" i="4"/>
  <c r="S121" i="4" s="1"/>
  <c r="T121" i="4" s="1"/>
  <c r="U121" i="4" s="1"/>
  <c r="V121" i="4" s="1"/>
  <c r="W121" i="4" s="1"/>
  <c r="X121" i="4" s="1"/>
  <c r="Y121" i="4" s="1"/>
  <c r="Z121" i="4" s="1"/>
  <c r="AA121" i="4" s="1"/>
  <c r="AB121" i="4" s="1"/>
  <c r="AC121" i="4" s="1"/>
  <c r="AD121" i="4" s="1"/>
  <c r="AE121" i="4" s="1"/>
  <c r="AF121" i="4" s="1"/>
  <c r="AG121" i="4" s="1"/>
  <c r="AH121" i="4" s="1"/>
  <c r="AI121" i="4" s="1"/>
  <c r="AJ121" i="4" s="1"/>
  <c r="AK121" i="4" s="1"/>
  <c r="AL121" i="4" s="1"/>
  <c r="AM121" i="4" s="1"/>
  <c r="AN121" i="4" s="1"/>
  <c r="Q125" i="4"/>
  <c r="R125" i="4" s="1"/>
  <c r="S125" i="4" s="1"/>
  <c r="T125" i="4" s="1"/>
  <c r="U125" i="4" s="1"/>
  <c r="V125" i="4" s="1"/>
  <c r="W125" i="4" s="1"/>
  <c r="X125" i="4" s="1"/>
  <c r="Y125" i="4" s="1"/>
  <c r="Z125" i="4" s="1"/>
  <c r="AA125" i="4" s="1"/>
  <c r="AB125" i="4" s="1"/>
  <c r="AC125" i="4" s="1"/>
  <c r="AD125" i="4" s="1"/>
  <c r="AE125" i="4" s="1"/>
  <c r="AF125" i="4" s="1"/>
  <c r="AG125" i="4" s="1"/>
  <c r="AH125" i="4" s="1"/>
  <c r="AI125" i="4" s="1"/>
  <c r="AJ125" i="4" s="1"/>
  <c r="AK125" i="4" s="1"/>
  <c r="AL125" i="4" s="1"/>
  <c r="AM125" i="4" s="1"/>
  <c r="AN125" i="4" s="1"/>
  <c r="Q143" i="4"/>
  <c r="R143" i="4" s="1"/>
  <c r="S143" i="4" s="1"/>
  <c r="T143" i="4" s="1"/>
  <c r="U143" i="4" s="1"/>
  <c r="V143" i="4" s="1"/>
  <c r="W143" i="4" s="1"/>
  <c r="X143" i="4" s="1"/>
  <c r="Y143" i="4" s="1"/>
  <c r="Z143" i="4" s="1"/>
  <c r="AA143" i="4" s="1"/>
  <c r="AB143" i="4" s="1"/>
  <c r="AC143" i="4" s="1"/>
  <c r="AD143" i="4" s="1"/>
  <c r="AE143" i="4" s="1"/>
  <c r="AF143" i="4" s="1"/>
  <c r="AG143" i="4" s="1"/>
  <c r="AH143" i="4" s="1"/>
  <c r="AI143" i="4" s="1"/>
  <c r="AJ143" i="4" s="1"/>
  <c r="AK143" i="4" s="1"/>
  <c r="AL143" i="4" s="1"/>
  <c r="AM143" i="4" s="1"/>
  <c r="AN143" i="4" s="1"/>
  <c r="Q148" i="4" l="1"/>
  <c r="R148" i="4" s="1"/>
  <c r="S148" i="4" s="1"/>
  <c r="T148" i="4" s="1"/>
  <c r="U148" i="4" s="1"/>
  <c r="V148" i="4" s="1"/>
  <c r="W148" i="4" s="1"/>
  <c r="X148" i="4" s="1"/>
  <c r="Y148" i="4" s="1"/>
  <c r="Z148" i="4" s="1"/>
  <c r="AA148" i="4" s="1"/>
  <c r="AB148" i="4" s="1"/>
  <c r="AC148" i="4" s="1"/>
  <c r="AD148" i="4" s="1"/>
  <c r="AE148" i="4" s="1"/>
  <c r="AF148" i="4" s="1"/>
  <c r="AG148" i="4" s="1"/>
  <c r="AH148" i="4" s="1"/>
  <c r="AI148" i="4" s="1"/>
  <c r="AJ148" i="4" s="1"/>
  <c r="AK148" i="4" s="1"/>
  <c r="AL148" i="4" s="1"/>
  <c r="AM148" i="4" s="1"/>
  <c r="AN148" i="4" s="1"/>
  <c r="P151" i="4"/>
  <c r="O9" i="4"/>
  <c r="P154" i="4" l="1"/>
  <c r="Q151" i="4"/>
  <c r="R151" i="4" s="1"/>
  <c r="S151" i="4" s="1"/>
  <c r="T151" i="4" s="1"/>
  <c r="U151" i="4" s="1"/>
  <c r="V151" i="4" s="1"/>
  <c r="W151" i="4" s="1"/>
  <c r="X151" i="4" s="1"/>
  <c r="Y151" i="4" s="1"/>
  <c r="Z151" i="4" s="1"/>
  <c r="AA151" i="4" s="1"/>
  <c r="AB151" i="4" s="1"/>
  <c r="AC151" i="4" s="1"/>
  <c r="AD151" i="4" s="1"/>
  <c r="AE151" i="4" s="1"/>
  <c r="AF151" i="4" s="1"/>
  <c r="AG151" i="4" s="1"/>
  <c r="AH151" i="4" s="1"/>
  <c r="AI151" i="4" s="1"/>
  <c r="AJ151" i="4" s="1"/>
  <c r="AK151" i="4" s="1"/>
  <c r="AL151" i="4" s="1"/>
  <c r="AM151" i="4" s="1"/>
  <c r="AN151" i="4" s="1"/>
  <c r="D2" i="4"/>
  <c r="AR23" i="4"/>
  <c r="AR15" i="4"/>
  <c r="AR29" i="4"/>
  <c r="AR38" i="4"/>
  <c r="AR25" i="4"/>
  <c r="AR18" i="4"/>
  <c r="AR8" i="4"/>
  <c r="AR47" i="4"/>
  <c r="AR4" i="4"/>
  <c r="AR20" i="4"/>
  <c r="AR35" i="4"/>
  <c r="AR49" i="4"/>
  <c r="AR12" i="4"/>
  <c r="AR10" i="4"/>
  <c r="AR50" i="4"/>
  <c r="AR34" i="4"/>
  <c r="AR7" i="4"/>
  <c r="AR9" i="4"/>
  <c r="AR37" i="4"/>
  <c r="AR14" i="4"/>
  <c r="AR44" i="4"/>
  <c r="AR51" i="4"/>
  <c r="AR46" i="4"/>
  <c r="AR40" i="4"/>
  <c r="AR43" i="4"/>
  <c r="AR11" i="4"/>
  <c r="AR48" i="4"/>
  <c r="AR33" i="4"/>
  <c r="AR30" i="4"/>
  <c r="AR41" i="4"/>
  <c r="AR42" i="4"/>
  <c r="AR36" i="4"/>
  <c r="AR45" i="4"/>
  <c r="AR22" i="4"/>
  <c r="AR32" i="4"/>
  <c r="AR13" i="4"/>
  <c r="AR6" i="4"/>
  <c r="AR5" i="4"/>
  <c r="AR19" i="4"/>
  <c r="AR17" i="4"/>
  <c r="AR39" i="4"/>
  <c r="AR26" i="4"/>
  <c r="P158" i="4" l="1"/>
  <c r="Q158" i="4" s="1"/>
  <c r="R158" i="4" s="1"/>
  <c r="S158" i="4" s="1"/>
  <c r="T158" i="4" s="1"/>
  <c r="U158" i="4" s="1"/>
  <c r="V158" i="4" s="1"/>
  <c r="W158" i="4" s="1"/>
  <c r="X158" i="4" s="1"/>
  <c r="Y158" i="4" s="1"/>
  <c r="Z158" i="4" s="1"/>
  <c r="AA158" i="4" s="1"/>
  <c r="AB158" i="4" s="1"/>
  <c r="AC158" i="4" s="1"/>
  <c r="AD158" i="4" s="1"/>
  <c r="AE158" i="4" s="1"/>
  <c r="AF158" i="4" s="1"/>
  <c r="AG158" i="4" s="1"/>
  <c r="AH158" i="4" s="1"/>
  <c r="AI158" i="4" s="1"/>
  <c r="AJ158" i="4" s="1"/>
  <c r="AK158" i="4" s="1"/>
  <c r="AL158" i="4" s="1"/>
  <c r="AM158" i="4" s="1"/>
  <c r="AN158" i="4" s="1"/>
  <c r="Q154" i="4"/>
  <c r="R154" i="4" s="1"/>
  <c r="S154" i="4" s="1"/>
  <c r="T154" i="4" s="1"/>
  <c r="U154" i="4" s="1"/>
  <c r="V154" i="4" s="1"/>
  <c r="W154" i="4" s="1"/>
  <c r="X154" i="4" s="1"/>
  <c r="Y154" i="4" s="1"/>
  <c r="Z154" i="4" s="1"/>
  <c r="AA154" i="4" s="1"/>
  <c r="AB154" i="4" s="1"/>
  <c r="AC154" i="4" s="1"/>
  <c r="AD154" i="4" s="1"/>
  <c r="AE154" i="4" s="1"/>
  <c r="AF154" i="4" s="1"/>
  <c r="AG154" i="4" s="1"/>
  <c r="AH154" i="4" s="1"/>
  <c r="AI154" i="4" s="1"/>
  <c r="AJ154" i="4" s="1"/>
  <c r="AK154" i="4" s="1"/>
  <c r="AL154" i="4" s="1"/>
  <c r="AM154" i="4" s="1"/>
  <c r="AN154" i="4" s="1"/>
  <c r="R156" i="4"/>
  <c r="S156" i="4" s="1"/>
  <c r="T156" i="4" s="1"/>
  <c r="U156" i="4" s="1"/>
  <c r="X114" i="4"/>
  <c r="Y114" i="4" s="1"/>
  <c r="Z114" i="4" s="1"/>
  <c r="AA114" i="4" s="1"/>
  <c r="AB114" i="4" s="1"/>
  <c r="AC114" i="4" s="1"/>
  <c r="AD114" i="4" s="1"/>
  <c r="AE114" i="4" s="1"/>
  <c r="AF114" i="4" s="1"/>
  <c r="AG114" i="4" s="1"/>
  <c r="AH114" i="4" s="1"/>
  <c r="AI114" i="4" s="1"/>
  <c r="AJ114" i="4" s="1"/>
  <c r="AK114" i="4" s="1"/>
  <c r="AL114" i="4" s="1"/>
  <c r="AM114" i="4" s="1"/>
  <c r="AN114" i="4" s="1"/>
  <c r="O93" i="4"/>
  <c r="X90" i="4"/>
  <c r="Y90" i="4" s="1"/>
  <c r="Z90" i="4" s="1"/>
  <c r="AA90" i="4" s="1"/>
  <c r="AB90" i="4" s="1"/>
  <c r="AC90" i="4" s="1"/>
  <c r="AD90" i="4" s="1"/>
  <c r="AE90" i="4" s="1"/>
  <c r="AF90" i="4" s="1"/>
  <c r="AG90" i="4" s="1"/>
  <c r="AH90" i="4" s="1"/>
  <c r="AI90" i="4" s="1"/>
  <c r="AJ90" i="4" s="1"/>
  <c r="AK90" i="4" s="1"/>
  <c r="AL90" i="4" s="1"/>
  <c r="AM90" i="4" s="1"/>
  <c r="AN90" i="4" s="1"/>
  <c r="O90" i="4"/>
  <c r="O87" i="4"/>
  <c r="P9" i="4"/>
  <c r="P11" i="4" s="1"/>
  <c r="P13" i="4" s="1"/>
  <c r="P15" i="4" s="1"/>
  <c r="P17" i="4" s="1"/>
  <c r="P19" i="4" s="1"/>
  <c r="P21" i="4" s="1"/>
  <c r="P23" i="4" s="1"/>
  <c r="P25" i="4" s="1"/>
  <c r="P31" i="4" s="1"/>
  <c r="P12" i="4"/>
  <c r="P16" i="4" s="1"/>
  <c r="P20" i="4" s="1"/>
  <c r="P24" i="4" s="1"/>
  <c r="X92" i="4" l="1"/>
  <c r="Y92" i="4" s="1"/>
  <c r="Z92" i="4" s="1"/>
  <c r="AA92" i="4" s="1"/>
  <c r="AB92" i="4" s="1"/>
  <c r="AC92" i="4" s="1"/>
  <c r="AD92" i="4" s="1"/>
  <c r="AE92" i="4" s="1"/>
  <c r="AF92" i="4" s="1"/>
  <c r="AG92" i="4" s="1"/>
  <c r="AH92" i="4" s="1"/>
  <c r="AI92" i="4" s="1"/>
  <c r="AJ92" i="4" s="1"/>
  <c r="AK92" i="4" s="1"/>
  <c r="AL92" i="4" s="1"/>
  <c r="AM92" i="4" s="1"/>
  <c r="AN92" i="4" s="1"/>
  <c r="O91" i="4"/>
  <c r="O97" i="4"/>
  <c r="O92" i="4"/>
  <c r="X116" i="4"/>
  <c r="V156" i="4"/>
  <c r="W156" i="4"/>
  <c r="P10" i="4"/>
  <c r="Q10" i="4" s="1"/>
  <c r="R10" i="4" s="1"/>
  <c r="S10" i="4" s="1"/>
  <c r="O10" i="4"/>
  <c r="Q31" i="4"/>
  <c r="R31" i="4" s="1"/>
  <c r="S31" i="4" s="1"/>
  <c r="Q37" i="4"/>
  <c r="R37" i="4" s="1"/>
  <c r="S37" i="4" s="1"/>
  <c r="Q8" i="4"/>
  <c r="R8" i="4" s="1"/>
  <c r="S8" i="4" s="1"/>
  <c r="Q9" i="4"/>
  <c r="R9" i="4" s="1"/>
  <c r="S9" i="4" s="1"/>
  <c r="Q11" i="4"/>
  <c r="R11" i="4" s="1"/>
  <c r="S11" i="4" s="1"/>
  <c r="Q12" i="4"/>
  <c r="R12" i="4" s="1"/>
  <c r="S12" i="4" s="1"/>
  <c r="Q7" i="4"/>
  <c r="R7" i="4" s="1"/>
  <c r="S7" i="4" s="1"/>
  <c r="Q4" i="4"/>
  <c r="R4" i="4" s="1"/>
  <c r="S4" i="4" s="1"/>
  <c r="T4" i="4" s="1"/>
  <c r="U4" i="4" s="1"/>
  <c r="V4" i="4" s="1"/>
  <c r="X118" i="4" l="1"/>
  <c r="Y118" i="4" s="1"/>
  <c r="Z118" i="4" s="1"/>
  <c r="AA118" i="4" s="1"/>
  <c r="AB118" i="4" s="1"/>
  <c r="AC118" i="4" s="1"/>
  <c r="AD118" i="4" s="1"/>
  <c r="AE118" i="4" s="1"/>
  <c r="AF118" i="4" s="1"/>
  <c r="AG118" i="4" s="1"/>
  <c r="AH118" i="4" s="1"/>
  <c r="AI118" i="4" s="1"/>
  <c r="AJ118" i="4" s="1"/>
  <c r="AK118" i="4" s="1"/>
  <c r="AL118" i="4" s="1"/>
  <c r="AM118" i="4" s="1"/>
  <c r="AN118" i="4" s="1"/>
  <c r="Y116" i="4"/>
  <c r="Z116" i="4" s="1"/>
  <c r="AA116" i="4" s="1"/>
  <c r="AB116" i="4" s="1"/>
  <c r="AC116" i="4" s="1"/>
  <c r="AD116" i="4" s="1"/>
  <c r="AE116" i="4" s="1"/>
  <c r="AF116" i="4" s="1"/>
  <c r="AG116" i="4" s="1"/>
  <c r="AH116" i="4" s="1"/>
  <c r="AI116" i="4" s="1"/>
  <c r="AJ116" i="4" s="1"/>
  <c r="AK116" i="4" s="1"/>
  <c r="AL116" i="4" s="1"/>
  <c r="AM116" i="4" s="1"/>
  <c r="AN116" i="4" s="1"/>
  <c r="X94" i="4"/>
  <c r="Y94" i="4" s="1"/>
  <c r="Z94" i="4" s="1"/>
  <c r="AA94" i="4" s="1"/>
  <c r="AB94" i="4" s="1"/>
  <c r="AC94" i="4" s="1"/>
  <c r="AD94" i="4" s="1"/>
  <c r="AE94" i="4" s="1"/>
  <c r="AF94" i="4" s="1"/>
  <c r="AG94" i="4" s="1"/>
  <c r="AH94" i="4" s="1"/>
  <c r="AI94" i="4" s="1"/>
  <c r="AJ94" i="4" s="1"/>
  <c r="AK94" i="4" s="1"/>
  <c r="AL94" i="4" s="1"/>
  <c r="AM94" i="4" s="1"/>
  <c r="AN94" i="4" s="1"/>
  <c r="O101" i="4"/>
  <c r="O94" i="4"/>
  <c r="O95" i="4"/>
  <c r="Q129" i="4"/>
  <c r="R129" i="4" s="1"/>
  <c r="S129" i="4" s="1"/>
  <c r="T129" i="4" s="1"/>
  <c r="U129" i="4" s="1"/>
  <c r="V129" i="4" s="1"/>
  <c r="W129" i="4" s="1"/>
  <c r="X129" i="4" s="1"/>
  <c r="Y129" i="4" s="1"/>
  <c r="Z129" i="4" s="1"/>
  <c r="AA129" i="4" s="1"/>
  <c r="AB129" i="4" s="1"/>
  <c r="AC129" i="4" s="1"/>
  <c r="AD129" i="4" s="1"/>
  <c r="AE129" i="4" s="1"/>
  <c r="AF129" i="4" s="1"/>
  <c r="AG129" i="4" s="1"/>
  <c r="AH129" i="4" s="1"/>
  <c r="AI129" i="4" s="1"/>
  <c r="AJ129" i="4" s="1"/>
  <c r="AK129" i="4" s="1"/>
  <c r="AL129" i="4" s="1"/>
  <c r="AM129" i="4" s="1"/>
  <c r="AN129" i="4" s="1"/>
  <c r="O14" i="4"/>
  <c r="P14" i="4"/>
  <c r="T37" i="4"/>
  <c r="U37" i="4"/>
  <c r="V37" i="4" s="1"/>
  <c r="W37" i="4" s="1"/>
  <c r="X37" i="4" s="1"/>
  <c r="Y37" i="4" s="1"/>
  <c r="Z37" i="4" s="1"/>
  <c r="AA37" i="4" s="1"/>
  <c r="AB37" i="4" s="1"/>
  <c r="AC37" i="4" s="1"/>
  <c r="AD37" i="4" s="1"/>
  <c r="AE37" i="4" s="1"/>
  <c r="AF37" i="4" s="1"/>
  <c r="T31" i="4"/>
  <c r="U31" i="4"/>
  <c r="V31" i="4" s="1"/>
  <c r="W31" i="4" s="1"/>
  <c r="X31" i="4" s="1"/>
  <c r="Y31" i="4" s="1"/>
  <c r="Z31" i="4" s="1"/>
  <c r="AA31" i="4" s="1"/>
  <c r="AB31" i="4" s="1"/>
  <c r="AC31" i="4" s="1"/>
  <c r="AD31" i="4" s="1"/>
  <c r="AE31" i="4" s="1"/>
  <c r="AF31" i="4" s="1"/>
  <c r="U12" i="4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AK12" i="4" s="1"/>
  <c r="AL12" i="4" s="1"/>
  <c r="AM12" i="4" s="1"/>
  <c r="AN12" i="4" s="1"/>
  <c r="T12" i="4"/>
  <c r="U8" i="4"/>
  <c r="V8" i="4" s="1"/>
  <c r="W8" i="4" s="1"/>
  <c r="X8" i="4" s="1"/>
  <c r="Y8" i="4" s="1"/>
  <c r="Z8" i="4" s="1"/>
  <c r="AA8" i="4" s="1"/>
  <c r="AB8" i="4" s="1"/>
  <c r="AC8" i="4" s="1"/>
  <c r="AD8" i="4" s="1"/>
  <c r="AE8" i="4" s="1"/>
  <c r="AF8" i="4" s="1"/>
  <c r="T8" i="4"/>
  <c r="U11" i="4"/>
  <c r="V11" i="4" s="1"/>
  <c r="W11" i="4" s="1"/>
  <c r="X11" i="4" s="1"/>
  <c r="Y11" i="4" s="1"/>
  <c r="Z11" i="4" s="1"/>
  <c r="AA11" i="4" s="1"/>
  <c r="AB11" i="4" s="1"/>
  <c r="AC11" i="4" s="1"/>
  <c r="AD11" i="4" s="1"/>
  <c r="AE11" i="4" s="1"/>
  <c r="AF11" i="4" s="1"/>
  <c r="T11" i="4"/>
  <c r="U10" i="4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T10" i="4"/>
  <c r="T9" i="4"/>
  <c r="U9" i="4"/>
  <c r="V9" i="4" s="1"/>
  <c r="W9" i="4" s="1"/>
  <c r="X9" i="4" s="1"/>
  <c r="Y9" i="4" s="1"/>
  <c r="Z9" i="4" s="1"/>
  <c r="AA9" i="4" s="1"/>
  <c r="AB9" i="4" s="1"/>
  <c r="AC9" i="4" s="1"/>
  <c r="AD9" i="4" s="1"/>
  <c r="AE9" i="4" s="1"/>
  <c r="AF9" i="4" s="1"/>
  <c r="Q13" i="4"/>
  <c r="R13" i="4" s="1"/>
  <c r="S13" i="4" s="1"/>
  <c r="T13" i="4" s="1"/>
  <c r="T7" i="4"/>
  <c r="U7" i="4"/>
  <c r="V7" i="4" s="1"/>
  <c r="W7" i="4" s="1"/>
  <c r="X7" i="4" s="1"/>
  <c r="Y7" i="4" s="1"/>
  <c r="Z7" i="4" s="1"/>
  <c r="AA7" i="4" s="1"/>
  <c r="AB7" i="4" s="1"/>
  <c r="AC7" i="4" s="1"/>
  <c r="AD7" i="4" s="1"/>
  <c r="AE7" i="4" s="1"/>
  <c r="AF7" i="4" s="1"/>
  <c r="O12" i="4"/>
  <c r="O11" i="4"/>
  <c r="R6" i="4"/>
  <c r="S6" i="4" s="1"/>
  <c r="AI5" i="4"/>
  <c r="AJ5" i="4" s="1"/>
  <c r="AK5" i="4" s="1"/>
  <c r="AL5" i="4" s="1"/>
  <c r="AH5" i="4"/>
  <c r="W4" i="4"/>
  <c r="X4" i="4" s="1"/>
  <c r="Y4" i="4" s="1"/>
  <c r="Z4" i="4" s="1"/>
  <c r="AA4" i="4" s="1"/>
  <c r="AB4" i="4" s="1"/>
  <c r="AC4" i="4" s="1"/>
  <c r="AD4" i="4" s="1"/>
  <c r="AE4" i="4" s="1"/>
  <c r="AF4" i="4" s="1"/>
  <c r="AG4" i="4" s="1"/>
  <c r="AR3" i="4"/>
  <c r="N114" i="4" l="1"/>
  <c r="N37" i="4"/>
  <c r="N86" i="4"/>
  <c r="N104" i="4"/>
  <c r="N20" i="4"/>
  <c r="N9" i="4"/>
  <c r="N87" i="4"/>
  <c r="N103" i="4"/>
  <c r="N119" i="4"/>
  <c r="N135" i="4"/>
  <c r="N151" i="4"/>
  <c r="N84" i="4"/>
  <c r="N100" i="4"/>
  <c r="N116" i="4"/>
  <c r="N132" i="4"/>
  <c r="N148" i="4"/>
  <c r="N102" i="4"/>
  <c r="N150" i="4"/>
  <c r="N97" i="4"/>
  <c r="N113" i="4"/>
  <c r="N129" i="4"/>
  <c r="N145" i="4"/>
  <c r="N134" i="4"/>
  <c r="N158" i="4"/>
  <c r="N83" i="4"/>
  <c r="N131" i="4"/>
  <c r="N106" i="4"/>
  <c r="N96" i="4"/>
  <c r="N128" i="4"/>
  <c r="N90" i="4"/>
  <c r="N109" i="4"/>
  <c r="N141" i="4"/>
  <c r="N122" i="4"/>
  <c r="N91" i="4"/>
  <c r="N107" i="4"/>
  <c r="N123" i="4"/>
  <c r="N139" i="4"/>
  <c r="N155" i="4"/>
  <c r="N130" i="4"/>
  <c r="N88" i="4"/>
  <c r="N120" i="4"/>
  <c r="N136" i="4"/>
  <c r="N152" i="4"/>
  <c r="N118" i="4"/>
  <c r="N85" i="4"/>
  <c r="N101" i="4"/>
  <c r="N117" i="4"/>
  <c r="N133" i="4"/>
  <c r="N149" i="4"/>
  <c r="N98" i="4"/>
  <c r="N146" i="4"/>
  <c r="N95" i="4"/>
  <c r="N111" i="4"/>
  <c r="N127" i="4"/>
  <c r="N143" i="4"/>
  <c r="N94" i="4"/>
  <c r="N142" i="4"/>
  <c r="N92" i="4"/>
  <c r="N108" i="4"/>
  <c r="N124" i="4"/>
  <c r="N140" i="4"/>
  <c r="N156" i="4"/>
  <c r="N126" i="4"/>
  <c r="N89" i="4"/>
  <c r="N105" i="4"/>
  <c r="N121" i="4"/>
  <c r="N137" i="4"/>
  <c r="N153" i="4"/>
  <c r="N110" i="4"/>
  <c r="N99" i="4"/>
  <c r="N115" i="4"/>
  <c r="N147" i="4"/>
  <c r="N154" i="4"/>
  <c r="N112" i="4"/>
  <c r="N144" i="4"/>
  <c r="N138" i="4"/>
  <c r="N93" i="4"/>
  <c r="N125" i="4"/>
  <c r="N157" i="4"/>
  <c r="N82" i="4"/>
  <c r="N5" i="4"/>
  <c r="N21" i="4"/>
  <c r="J6" i="4" s="1"/>
  <c r="N53" i="4"/>
  <c r="N69" i="4"/>
  <c r="N28" i="4"/>
  <c r="N76" i="4"/>
  <c r="N18" i="4"/>
  <c r="N34" i="4"/>
  <c r="N50" i="4"/>
  <c r="N66" i="4"/>
  <c r="N12" i="4"/>
  <c r="N56" i="4"/>
  <c r="N15" i="4"/>
  <c r="N31" i="4"/>
  <c r="N47" i="4"/>
  <c r="N63" i="4"/>
  <c r="N79" i="4"/>
  <c r="N48" i="4"/>
  <c r="N25" i="4"/>
  <c r="N41" i="4"/>
  <c r="N57" i="4"/>
  <c r="N73" i="4"/>
  <c r="N40" i="4"/>
  <c r="N6" i="4"/>
  <c r="N22" i="4"/>
  <c r="G23" i="4" s="1"/>
  <c r="N38" i="4"/>
  <c r="N54" i="4"/>
  <c r="N70" i="4"/>
  <c r="N68" i="4"/>
  <c r="N19" i="4"/>
  <c r="N35" i="4"/>
  <c r="N51" i="4"/>
  <c r="N67" i="4"/>
  <c r="N8" i="4"/>
  <c r="G18" i="4" s="1"/>
  <c r="N60" i="4"/>
  <c r="N13" i="4"/>
  <c r="N29" i="4"/>
  <c r="N45" i="4"/>
  <c r="N61" i="4"/>
  <c r="N77" i="4"/>
  <c r="N52" i="4"/>
  <c r="N10" i="4"/>
  <c r="N26" i="4"/>
  <c r="N42" i="4"/>
  <c r="N58" i="4"/>
  <c r="N74" i="4"/>
  <c r="N32" i="4"/>
  <c r="N7" i="4"/>
  <c r="N23" i="4"/>
  <c r="N39" i="4"/>
  <c r="N55" i="4"/>
  <c r="N71" i="4"/>
  <c r="N24" i="4"/>
  <c r="N72" i="4"/>
  <c r="N17" i="4"/>
  <c r="N33" i="4"/>
  <c r="N49" i="4"/>
  <c r="N65" i="4"/>
  <c r="N16" i="4"/>
  <c r="N64" i="4"/>
  <c r="N14" i="4"/>
  <c r="N30" i="4"/>
  <c r="N46" i="4"/>
  <c r="N62" i="4"/>
  <c r="N78" i="4"/>
  <c r="N44" i="4"/>
  <c r="N11" i="4"/>
  <c r="G9" i="4" s="1"/>
  <c r="N27" i="4"/>
  <c r="N43" i="4"/>
  <c r="N59" i="4"/>
  <c r="N75" i="4"/>
  <c r="N36" i="4"/>
  <c r="N4" i="4"/>
  <c r="X96" i="4"/>
  <c r="Y96" i="4" s="1"/>
  <c r="Z96" i="4" s="1"/>
  <c r="AA96" i="4" s="1"/>
  <c r="AB96" i="4" s="1"/>
  <c r="AC96" i="4" s="1"/>
  <c r="AD96" i="4" s="1"/>
  <c r="AE96" i="4" s="1"/>
  <c r="AF96" i="4" s="1"/>
  <c r="AG96" i="4" s="1"/>
  <c r="AH96" i="4" s="1"/>
  <c r="AI96" i="4" s="1"/>
  <c r="AJ96" i="4" s="1"/>
  <c r="AK96" i="4" s="1"/>
  <c r="AL96" i="4" s="1"/>
  <c r="AM96" i="4" s="1"/>
  <c r="AN96" i="4" s="1"/>
  <c r="O96" i="4"/>
  <c r="O99" i="4"/>
  <c r="O104" i="4"/>
  <c r="O18" i="4"/>
  <c r="AH10" i="4"/>
  <c r="AI10" i="4" s="1"/>
  <c r="AJ10" i="4" s="1"/>
  <c r="AK10" i="4" s="1"/>
  <c r="AL10" i="4" s="1"/>
  <c r="AM10" i="4" s="1"/>
  <c r="AG8" i="4"/>
  <c r="AH8" i="4" s="1"/>
  <c r="AI8" i="4" s="1"/>
  <c r="AJ8" i="4" s="1"/>
  <c r="AK8" i="4" s="1"/>
  <c r="AL8" i="4" s="1"/>
  <c r="AM8" i="4" s="1"/>
  <c r="AN8" i="4" s="1"/>
  <c r="Q133" i="4"/>
  <c r="R133" i="4" s="1"/>
  <c r="S133" i="4" s="1"/>
  <c r="T133" i="4" s="1"/>
  <c r="U133" i="4" s="1"/>
  <c r="V133" i="4" s="1"/>
  <c r="W133" i="4" s="1"/>
  <c r="X133" i="4" s="1"/>
  <c r="Y133" i="4" s="1"/>
  <c r="Z133" i="4" s="1"/>
  <c r="AA133" i="4" s="1"/>
  <c r="AB133" i="4" s="1"/>
  <c r="AC133" i="4" s="1"/>
  <c r="AD133" i="4" s="1"/>
  <c r="AE133" i="4" s="1"/>
  <c r="AF133" i="4" s="1"/>
  <c r="AG133" i="4" s="1"/>
  <c r="AH133" i="4" s="1"/>
  <c r="AI133" i="4" s="1"/>
  <c r="AJ133" i="4" s="1"/>
  <c r="AK133" i="4" s="1"/>
  <c r="AL133" i="4" s="1"/>
  <c r="AM133" i="4" s="1"/>
  <c r="AN133" i="4" s="1"/>
  <c r="O13" i="4"/>
  <c r="Q14" i="4"/>
  <c r="R14" i="4" s="1"/>
  <c r="S14" i="4" s="1"/>
  <c r="P18" i="4"/>
  <c r="P22" i="4" s="1"/>
  <c r="U13" i="4"/>
  <c r="V13" i="4" s="1"/>
  <c r="W13" i="4" s="1"/>
  <c r="X13" i="4" s="1"/>
  <c r="Y13" i="4" s="1"/>
  <c r="Z13" i="4" s="1"/>
  <c r="AA13" i="4" s="1"/>
  <c r="AB13" i="4" s="1"/>
  <c r="AC13" i="4" s="1"/>
  <c r="AD13" i="4" s="1"/>
  <c r="AE13" i="4" s="1"/>
  <c r="AF13" i="4" s="1"/>
  <c r="O16" i="4"/>
  <c r="Q15" i="4"/>
  <c r="R15" i="4" s="1"/>
  <c r="S15" i="4" s="1"/>
  <c r="AM5" i="4"/>
  <c r="AI4" i="4"/>
  <c r="AJ4" i="4" s="1"/>
  <c r="AK4" i="4" s="1"/>
  <c r="AL4" i="4" s="1"/>
  <c r="AM4" i="4" s="1"/>
  <c r="AH4" i="4"/>
  <c r="T6" i="4"/>
  <c r="U6" i="4"/>
  <c r="X98" i="4" l="1"/>
  <c r="Y98" i="4" s="1"/>
  <c r="Z98" i="4" s="1"/>
  <c r="AA98" i="4" s="1"/>
  <c r="AB98" i="4" s="1"/>
  <c r="AC98" i="4" s="1"/>
  <c r="AD98" i="4" s="1"/>
  <c r="AE98" i="4" s="1"/>
  <c r="AF98" i="4" s="1"/>
  <c r="AG98" i="4" s="1"/>
  <c r="AH98" i="4" s="1"/>
  <c r="AI98" i="4" s="1"/>
  <c r="AJ98" i="4" s="1"/>
  <c r="AK98" i="4" s="1"/>
  <c r="AL98" i="4" s="1"/>
  <c r="AM98" i="4" s="1"/>
  <c r="AN98" i="4" s="1"/>
  <c r="O22" i="4"/>
  <c r="O103" i="4"/>
  <c r="O106" i="4"/>
  <c r="O98" i="4"/>
  <c r="O15" i="4"/>
  <c r="Q137" i="4"/>
  <c r="R137" i="4" s="1"/>
  <c r="S137" i="4" s="1"/>
  <c r="T137" i="4" s="1"/>
  <c r="U137" i="4" s="1"/>
  <c r="V137" i="4" s="1"/>
  <c r="W137" i="4" s="1"/>
  <c r="X137" i="4" s="1"/>
  <c r="Y137" i="4" s="1"/>
  <c r="Z137" i="4" s="1"/>
  <c r="AA137" i="4" s="1"/>
  <c r="AB137" i="4" s="1"/>
  <c r="AC137" i="4" s="1"/>
  <c r="AD137" i="4" s="1"/>
  <c r="AE137" i="4" s="1"/>
  <c r="AF137" i="4" s="1"/>
  <c r="AG137" i="4" s="1"/>
  <c r="AH137" i="4" s="1"/>
  <c r="AI137" i="4" s="1"/>
  <c r="AJ137" i="4" s="1"/>
  <c r="AK137" i="4" s="1"/>
  <c r="AL137" i="4" s="1"/>
  <c r="AM137" i="4" s="1"/>
  <c r="AN137" i="4" s="1"/>
  <c r="V6" i="4"/>
  <c r="W6" i="4" s="1"/>
  <c r="X6" i="4" s="1"/>
  <c r="Y6" i="4" s="1"/>
  <c r="Z6" i="4" s="1"/>
  <c r="P26" i="4"/>
  <c r="Q22" i="4"/>
  <c r="R22" i="4" s="1"/>
  <c r="S22" i="4" s="1"/>
  <c r="T14" i="4"/>
  <c r="U14" i="4"/>
  <c r="V14" i="4" s="1"/>
  <c r="W14" i="4" s="1"/>
  <c r="X14" i="4" s="1"/>
  <c r="Y14" i="4" s="1"/>
  <c r="Z14" i="4" s="1"/>
  <c r="AA14" i="4" s="1"/>
  <c r="AB14" i="4" s="1"/>
  <c r="AC14" i="4" s="1"/>
  <c r="AD14" i="4" s="1"/>
  <c r="AE14" i="4" s="1"/>
  <c r="AF14" i="4" s="1"/>
  <c r="AG14" i="4" s="1"/>
  <c r="AH14" i="4" s="1"/>
  <c r="AI14" i="4" s="1"/>
  <c r="AJ14" i="4" s="1"/>
  <c r="AK14" i="4" s="1"/>
  <c r="AL14" i="4" s="1"/>
  <c r="AM14" i="4" s="1"/>
  <c r="O20" i="4"/>
  <c r="T15" i="4"/>
  <c r="U15" i="4"/>
  <c r="V15" i="4" s="1"/>
  <c r="W15" i="4" s="1"/>
  <c r="X15" i="4" s="1"/>
  <c r="Y15" i="4" s="1"/>
  <c r="Z15" i="4" s="1"/>
  <c r="AA15" i="4" s="1"/>
  <c r="AB15" i="4" s="1"/>
  <c r="AC15" i="4" s="1"/>
  <c r="AD15" i="4" s="1"/>
  <c r="AE15" i="4" s="1"/>
  <c r="AF15" i="4" s="1"/>
  <c r="AN4" i="4"/>
  <c r="X100" i="4" l="1"/>
  <c r="Y100" i="4" s="1"/>
  <c r="Z100" i="4" s="1"/>
  <c r="AA100" i="4" s="1"/>
  <c r="AB100" i="4" s="1"/>
  <c r="AC100" i="4" s="1"/>
  <c r="AD100" i="4" s="1"/>
  <c r="AE100" i="4" s="1"/>
  <c r="AF100" i="4" s="1"/>
  <c r="AG100" i="4" s="1"/>
  <c r="AH100" i="4" s="1"/>
  <c r="AI100" i="4" s="1"/>
  <c r="AJ100" i="4" s="1"/>
  <c r="AK100" i="4" s="1"/>
  <c r="AL100" i="4" s="1"/>
  <c r="AM100" i="4" s="1"/>
  <c r="AN100" i="4" s="1"/>
  <c r="O26" i="4"/>
  <c r="O17" i="4"/>
  <c r="O100" i="4"/>
  <c r="O105" i="4"/>
  <c r="O108" i="4"/>
  <c r="Q141" i="4"/>
  <c r="R141" i="4" s="1"/>
  <c r="S141" i="4" s="1"/>
  <c r="T141" i="4" s="1"/>
  <c r="U141" i="4" s="1"/>
  <c r="V141" i="4" s="1"/>
  <c r="W141" i="4" s="1"/>
  <c r="X141" i="4" s="1"/>
  <c r="Y141" i="4" s="1"/>
  <c r="Z141" i="4" s="1"/>
  <c r="AA141" i="4" s="1"/>
  <c r="AB141" i="4" s="1"/>
  <c r="AC141" i="4" s="1"/>
  <c r="AD141" i="4" s="1"/>
  <c r="AE141" i="4" s="1"/>
  <c r="AF141" i="4" s="1"/>
  <c r="AG141" i="4" s="1"/>
  <c r="AH141" i="4" s="1"/>
  <c r="AI141" i="4" s="1"/>
  <c r="AJ141" i="4" s="1"/>
  <c r="AK141" i="4" s="1"/>
  <c r="AL141" i="4" s="1"/>
  <c r="AM141" i="4" s="1"/>
  <c r="AN141" i="4" s="1"/>
  <c r="O24" i="4"/>
  <c r="U22" i="4"/>
  <c r="V22" i="4" s="1"/>
  <c r="W22" i="4" s="1"/>
  <c r="X22" i="4" s="1"/>
  <c r="Y22" i="4" s="1"/>
  <c r="Z22" i="4" s="1"/>
  <c r="AA22" i="4" s="1"/>
  <c r="AB22" i="4" s="1"/>
  <c r="AC22" i="4" s="1"/>
  <c r="AD22" i="4" s="1"/>
  <c r="AE22" i="4" s="1"/>
  <c r="AF22" i="4" s="1"/>
  <c r="AG22" i="4" s="1"/>
  <c r="AH22" i="4" s="1"/>
  <c r="AI22" i="4" s="1"/>
  <c r="AJ22" i="4" s="1"/>
  <c r="AK22" i="4" s="1"/>
  <c r="AL22" i="4" s="1"/>
  <c r="AM22" i="4" s="1"/>
  <c r="T22" i="4"/>
  <c r="AA6" i="4"/>
  <c r="AB6" i="4" s="1"/>
  <c r="AC6" i="4" s="1"/>
  <c r="AD6" i="4" s="1"/>
  <c r="AE6" i="4" s="1"/>
  <c r="AF6" i="4" s="1"/>
  <c r="AG6" i="4" s="1"/>
  <c r="AH6" i="4" s="1"/>
  <c r="AI6" i="4" s="1"/>
  <c r="AJ6" i="4" s="1"/>
  <c r="AK6" i="4" s="1"/>
  <c r="AL6" i="4" s="1"/>
  <c r="AM6" i="4" s="1"/>
  <c r="Q16" i="4"/>
  <c r="R16" i="4" s="1"/>
  <c r="S16" i="4" s="1"/>
  <c r="X102" i="4" l="1"/>
  <c r="Y102" i="4" s="1"/>
  <c r="Z102" i="4" s="1"/>
  <c r="AA102" i="4" s="1"/>
  <c r="AB102" i="4" s="1"/>
  <c r="AC102" i="4" s="1"/>
  <c r="AD102" i="4" s="1"/>
  <c r="AE102" i="4" s="1"/>
  <c r="AF102" i="4" s="1"/>
  <c r="AG102" i="4" s="1"/>
  <c r="AH102" i="4" s="1"/>
  <c r="AI102" i="4" s="1"/>
  <c r="AJ102" i="4" s="1"/>
  <c r="AK102" i="4" s="1"/>
  <c r="AL102" i="4" s="1"/>
  <c r="AM102" i="4" s="1"/>
  <c r="AN102" i="4" s="1"/>
  <c r="O19" i="4"/>
  <c r="O28" i="4"/>
  <c r="O107" i="4"/>
  <c r="O110" i="4"/>
  <c r="O113" i="4" s="1"/>
  <c r="O102" i="4"/>
  <c r="X119" i="4"/>
  <c r="Y119" i="4" s="1"/>
  <c r="Z119" i="4" s="1"/>
  <c r="AA119" i="4" s="1"/>
  <c r="AB119" i="4" s="1"/>
  <c r="AC119" i="4" s="1"/>
  <c r="AD119" i="4" s="1"/>
  <c r="AE119" i="4" s="1"/>
  <c r="AF119" i="4" s="1"/>
  <c r="AG119" i="4" s="1"/>
  <c r="AH119" i="4" s="1"/>
  <c r="AI119" i="4" s="1"/>
  <c r="AJ119" i="4" s="1"/>
  <c r="AK119" i="4" s="1"/>
  <c r="AL119" i="4" s="1"/>
  <c r="AM119" i="4" s="1"/>
  <c r="AN119" i="4" s="1"/>
  <c r="O27" i="4"/>
  <c r="U16" i="4"/>
  <c r="V16" i="4" s="1"/>
  <c r="W16" i="4" s="1"/>
  <c r="X16" i="4" s="1"/>
  <c r="Y16" i="4" s="1"/>
  <c r="Z16" i="4" s="1"/>
  <c r="AA16" i="4" s="1"/>
  <c r="AB16" i="4" s="1"/>
  <c r="AC16" i="4" s="1"/>
  <c r="AD16" i="4" s="1"/>
  <c r="AE16" i="4" s="1"/>
  <c r="AF16" i="4" s="1"/>
  <c r="AG16" i="4" s="1"/>
  <c r="AH16" i="4" s="1"/>
  <c r="AI16" i="4" s="1"/>
  <c r="AJ16" i="4" s="1"/>
  <c r="AK16" i="4" s="1"/>
  <c r="AL16" i="4" s="1"/>
  <c r="AM16" i="4" s="1"/>
  <c r="AN16" i="4" s="1"/>
  <c r="T16" i="4"/>
  <c r="Q17" i="4"/>
  <c r="R17" i="4" s="1"/>
  <c r="S17" i="4" s="1"/>
  <c r="O21" i="4" l="1"/>
  <c r="O23" i="4" s="1"/>
  <c r="O30" i="4"/>
  <c r="O111" i="4"/>
  <c r="O109" i="4"/>
  <c r="X120" i="4"/>
  <c r="O29" i="4"/>
  <c r="T17" i="4"/>
  <c r="U17" i="4"/>
  <c r="V17" i="4" s="1"/>
  <c r="W17" i="4" s="1"/>
  <c r="X17" i="4" s="1"/>
  <c r="Y17" i="4" s="1"/>
  <c r="Z17" i="4" s="1"/>
  <c r="AA17" i="4" s="1"/>
  <c r="AB17" i="4" s="1"/>
  <c r="AC17" i="4" s="1"/>
  <c r="AD17" i="4" s="1"/>
  <c r="AE17" i="4" s="1"/>
  <c r="AF17" i="4" s="1"/>
  <c r="Q18" i="4"/>
  <c r="R18" i="4" s="1"/>
  <c r="S18" i="4" s="1"/>
  <c r="X122" i="4" l="1"/>
  <c r="Y120" i="4"/>
  <c r="Z120" i="4" s="1"/>
  <c r="AA120" i="4" s="1"/>
  <c r="AB120" i="4" s="1"/>
  <c r="AC120" i="4" s="1"/>
  <c r="AD120" i="4" s="1"/>
  <c r="AE120" i="4" s="1"/>
  <c r="AF120" i="4" s="1"/>
  <c r="AG120" i="4" s="1"/>
  <c r="AH120" i="4" s="1"/>
  <c r="AI120" i="4" s="1"/>
  <c r="AJ120" i="4" s="1"/>
  <c r="AK120" i="4" s="1"/>
  <c r="AL120" i="4" s="1"/>
  <c r="AM120" i="4" s="1"/>
  <c r="AN120" i="4" s="1"/>
  <c r="O33" i="4"/>
  <c r="O114" i="4"/>
  <c r="O112" i="4"/>
  <c r="O117" i="4"/>
  <c r="O32" i="4"/>
  <c r="O25" i="4"/>
  <c r="T18" i="4"/>
  <c r="U18" i="4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Q19" i="4"/>
  <c r="R19" i="4" s="1"/>
  <c r="S19" i="4" s="1"/>
  <c r="O36" i="4" l="1"/>
  <c r="Y122" i="4"/>
  <c r="Z122" i="4" s="1"/>
  <c r="AA122" i="4" s="1"/>
  <c r="AB122" i="4" s="1"/>
  <c r="AC122" i="4" s="1"/>
  <c r="AD122" i="4" s="1"/>
  <c r="AE122" i="4" s="1"/>
  <c r="AF122" i="4" s="1"/>
  <c r="AG122" i="4" s="1"/>
  <c r="AH122" i="4" s="1"/>
  <c r="AI122" i="4" s="1"/>
  <c r="AJ122" i="4" s="1"/>
  <c r="AK122" i="4" s="1"/>
  <c r="AL122" i="4" s="1"/>
  <c r="AM122" i="4" s="1"/>
  <c r="AN122" i="4" s="1"/>
  <c r="X124" i="4"/>
  <c r="O115" i="4"/>
  <c r="O123" i="4"/>
  <c r="O116" i="4"/>
  <c r="O31" i="4"/>
  <c r="O35" i="4"/>
  <c r="T19" i="4"/>
  <c r="U19" i="4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Q20" i="4"/>
  <c r="R20" i="4" s="1"/>
  <c r="S20" i="4" s="1"/>
  <c r="O40" i="4" l="1"/>
  <c r="Y124" i="4"/>
  <c r="Z124" i="4" s="1"/>
  <c r="AA124" i="4" s="1"/>
  <c r="AB124" i="4" s="1"/>
  <c r="AC124" i="4" s="1"/>
  <c r="AD124" i="4" s="1"/>
  <c r="AE124" i="4" s="1"/>
  <c r="AF124" i="4" s="1"/>
  <c r="AG124" i="4" s="1"/>
  <c r="AH124" i="4" s="1"/>
  <c r="AI124" i="4" s="1"/>
  <c r="AJ124" i="4" s="1"/>
  <c r="AK124" i="4" s="1"/>
  <c r="AL124" i="4" s="1"/>
  <c r="AM124" i="4" s="1"/>
  <c r="AN124" i="4" s="1"/>
  <c r="X126" i="4"/>
  <c r="O127" i="4"/>
  <c r="O118" i="4"/>
  <c r="O121" i="4"/>
  <c r="O34" i="4"/>
  <c r="O38" i="4"/>
  <c r="Q21" i="4"/>
  <c r="R21" i="4" s="1"/>
  <c r="S21" i="4" s="1"/>
  <c r="T21" i="4" s="1"/>
  <c r="U20" i="4"/>
  <c r="V20" i="4" s="1"/>
  <c r="W20" i="4" s="1"/>
  <c r="X20" i="4" s="1"/>
  <c r="Y20" i="4" s="1"/>
  <c r="Z20" i="4" s="1"/>
  <c r="AA20" i="4" s="1"/>
  <c r="AB20" i="4" s="1"/>
  <c r="AC20" i="4" s="1"/>
  <c r="AD20" i="4" s="1"/>
  <c r="AE20" i="4" s="1"/>
  <c r="AF20" i="4" s="1"/>
  <c r="AG20" i="4" s="1"/>
  <c r="AH20" i="4" s="1"/>
  <c r="AI20" i="4" s="1"/>
  <c r="AJ20" i="4" s="1"/>
  <c r="AK20" i="4" s="1"/>
  <c r="AL20" i="4" s="1"/>
  <c r="AM20" i="4" s="1"/>
  <c r="AN20" i="4" s="1"/>
  <c r="T20" i="4"/>
  <c r="O44" i="4" l="1"/>
  <c r="Y126" i="4"/>
  <c r="Z126" i="4" s="1"/>
  <c r="AA126" i="4" s="1"/>
  <c r="AB126" i="4" s="1"/>
  <c r="AC126" i="4" s="1"/>
  <c r="AD126" i="4" s="1"/>
  <c r="AE126" i="4" s="1"/>
  <c r="AF126" i="4" s="1"/>
  <c r="AG126" i="4" s="1"/>
  <c r="AH126" i="4" s="1"/>
  <c r="AI126" i="4" s="1"/>
  <c r="AJ126" i="4" s="1"/>
  <c r="AK126" i="4" s="1"/>
  <c r="AL126" i="4" s="1"/>
  <c r="AM126" i="4" s="1"/>
  <c r="AN126" i="4" s="1"/>
  <c r="X128" i="4"/>
  <c r="O119" i="4"/>
  <c r="O125" i="4"/>
  <c r="O131" i="4"/>
  <c r="Q23" i="4"/>
  <c r="R23" i="4" s="1"/>
  <c r="S23" i="4" s="1"/>
  <c r="U23" i="4" s="1"/>
  <c r="V23" i="4" s="1"/>
  <c r="W23" i="4" s="1"/>
  <c r="X23" i="4" s="1"/>
  <c r="Y23" i="4" s="1"/>
  <c r="Z23" i="4" s="1"/>
  <c r="AA23" i="4" s="1"/>
  <c r="AB23" i="4" s="1"/>
  <c r="AC23" i="4" s="1"/>
  <c r="AD23" i="4" s="1"/>
  <c r="AE23" i="4" s="1"/>
  <c r="AF23" i="4" s="1"/>
  <c r="P27" i="4"/>
  <c r="U21" i="4"/>
  <c r="V21" i="4" s="1"/>
  <c r="W21" i="4" s="1"/>
  <c r="X21" i="4" s="1"/>
  <c r="Y21" i="4" s="1"/>
  <c r="Z21" i="4" s="1"/>
  <c r="AA21" i="4" s="1"/>
  <c r="AB21" i="4" s="1"/>
  <c r="AC21" i="4" s="1"/>
  <c r="AD21" i="4" s="1"/>
  <c r="AE21" i="4" s="1"/>
  <c r="AF21" i="4" s="1"/>
  <c r="O37" i="4"/>
  <c r="O42" i="4"/>
  <c r="Q24" i="4"/>
  <c r="R24" i="4" s="1"/>
  <c r="S24" i="4" s="1"/>
  <c r="O48" i="4" l="1"/>
  <c r="Y128" i="4"/>
  <c r="Z128" i="4" s="1"/>
  <c r="AA128" i="4" s="1"/>
  <c r="AB128" i="4" s="1"/>
  <c r="AC128" i="4" s="1"/>
  <c r="AD128" i="4" s="1"/>
  <c r="AE128" i="4" s="1"/>
  <c r="AF128" i="4" s="1"/>
  <c r="AG128" i="4" s="1"/>
  <c r="AH128" i="4" s="1"/>
  <c r="AI128" i="4" s="1"/>
  <c r="AJ128" i="4" s="1"/>
  <c r="AK128" i="4" s="1"/>
  <c r="AL128" i="4" s="1"/>
  <c r="AM128" i="4" s="1"/>
  <c r="AN128" i="4" s="1"/>
  <c r="X130" i="4"/>
  <c r="O129" i="4"/>
  <c r="O135" i="4"/>
  <c r="O120" i="4"/>
  <c r="T23" i="4"/>
  <c r="P29" i="4"/>
  <c r="Q27" i="4"/>
  <c r="R27" i="4" s="1"/>
  <c r="S27" i="4" s="1"/>
  <c r="P28" i="4"/>
  <c r="O46" i="4"/>
  <c r="O39" i="4"/>
  <c r="U24" i="4"/>
  <c r="V24" i="4" s="1"/>
  <c r="W24" i="4" s="1"/>
  <c r="X24" i="4" s="1"/>
  <c r="Y24" i="4" s="1"/>
  <c r="Z24" i="4" s="1"/>
  <c r="AA24" i="4" s="1"/>
  <c r="AB24" i="4" s="1"/>
  <c r="AC24" i="4" s="1"/>
  <c r="AD24" i="4" s="1"/>
  <c r="AE24" i="4" s="1"/>
  <c r="AF24" i="4" s="1"/>
  <c r="AG24" i="4" s="1"/>
  <c r="AH24" i="4" s="1"/>
  <c r="AI24" i="4" s="1"/>
  <c r="AJ24" i="4" s="1"/>
  <c r="AK24" i="4" s="1"/>
  <c r="AL24" i="4" s="1"/>
  <c r="AM24" i="4" s="1"/>
  <c r="AN24" i="4" s="1"/>
  <c r="T24" i="4"/>
  <c r="Q25" i="4"/>
  <c r="R25" i="4" s="1"/>
  <c r="S25" i="4" s="1"/>
  <c r="O52" i="4" l="1"/>
  <c r="Y130" i="4"/>
  <c r="Z130" i="4" s="1"/>
  <c r="AA130" i="4" s="1"/>
  <c r="AB130" i="4" s="1"/>
  <c r="AC130" i="4" s="1"/>
  <c r="AD130" i="4" s="1"/>
  <c r="AE130" i="4" s="1"/>
  <c r="AF130" i="4" s="1"/>
  <c r="AG130" i="4" s="1"/>
  <c r="AH130" i="4" s="1"/>
  <c r="AI130" i="4" s="1"/>
  <c r="AJ130" i="4" s="1"/>
  <c r="AK130" i="4" s="1"/>
  <c r="AL130" i="4" s="1"/>
  <c r="AM130" i="4" s="1"/>
  <c r="AN130" i="4" s="1"/>
  <c r="X132" i="4"/>
  <c r="O139" i="4"/>
  <c r="O122" i="4"/>
  <c r="O133" i="4"/>
  <c r="Q28" i="4"/>
  <c r="R28" i="4" s="1"/>
  <c r="S28" i="4" s="1"/>
  <c r="T28" i="4" s="1"/>
  <c r="P34" i="4"/>
  <c r="Q34" i="4" s="1"/>
  <c r="R34" i="4" s="1"/>
  <c r="S34" i="4" s="1"/>
  <c r="T27" i="4"/>
  <c r="U27" i="4"/>
  <c r="V27" i="4" s="1"/>
  <c r="W27" i="4" s="1"/>
  <c r="X27" i="4" s="1"/>
  <c r="Y27" i="4" s="1"/>
  <c r="Z27" i="4" s="1"/>
  <c r="AA27" i="4" s="1"/>
  <c r="AB27" i="4" s="1"/>
  <c r="AC27" i="4" s="1"/>
  <c r="AD27" i="4" s="1"/>
  <c r="AE27" i="4" s="1"/>
  <c r="AF27" i="4" s="1"/>
  <c r="AG27" i="4" s="1"/>
  <c r="AH27" i="4" s="1"/>
  <c r="AI27" i="4" s="1"/>
  <c r="AJ27" i="4" s="1"/>
  <c r="AK27" i="4" s="1"/>
  <c r="AL27" i="4" s="1"/>
  <c r="AM27" i="4" s="1"/>
  <c r="AN27" i="4" s="1"/>
  <c r="P30" i="4"/>
  <c r="P32" i="4"/>
  <c r="Q29" i="4"/>
  <c r="R29" i="4" s="1"/>
  <c r="S29" i="4" s="1"/>
  <c r="O41" i="4"/>
  <c r="O50" i="4"/>
  <c r="T25" i="4"/>
  <c r="U25" i="4"/>
  <c r="V25" i="4" s="1"/>
  <c r="W25" i="4" s="1"/>
  <c r="X25" i="4" s="1"/>
  <c r="Y25" i="4" s="1"/>
  <c r="Z25" i="4" s="1"/>
  <c r="AA25" i="4" s="1"/>
  <c r="AB25" i="4" s="1"/>
  <c r="AC25" i="4" s="1"/>
  <c r="AD25" i="4" s="1"/>
  <c r="AE25" i="4" s="1"/>
  <c r="AF25" i="4" s="1"/>
  <c r="Q26" i="4"/>
  <c r="R26" i="4" s="1"/>
  <c r="S26" i="4" s="1"/>
  <c r="O56" i="4" l="1"/>
  <c r="Y132" i="4"/>
  <c r="Z132" i="4" s="1"/>
  <c r="AA132" i="4" s="1"/>
  <c r="AB132" i="4" s="1"/>
  <c r="AC132" i="4" s="1"/>
  <c r="AD132" i="4" s="1"/>
  <c r="AE132" i="4" s="1"/>
  <c r="AF132" i="4" s="1"/>
  <c r="AG132" i="4" s="1"/>
  <c r="AH132" i="4" s="1"/>
  <c r="AI132" i="4" s="1"/>
  <c r="AJ132" i="4" s="1"/>
  <c r="AK132" i="4" s="1"/>
  <c r="AL132" i="4" s="1"/>
  <c r="AM132" i="4" s="1"/>
  <c r="AN132" i="4" s="1"/>
  <c r="X134" i="4"/>
  <c r="O124" i="4"/>
  <c r="O137" i="4"/>
  <c r="O143" i="4"/>
  <c r="U28" i="4"/>
  <c r="V28" i="4" s="1"/>
  <c r="W28" i="4" s="1"/>
  <c r="X28" i="4" s="1"/>
  <c r="Y28" i="4" s="1"/>
  <c r="Z28" i="4" s="1"/>
  <c r="AA28" i="4" s="1"/>
  <c r="AB28" i="4" s="1"/>
  <c r="AC28" i="4" s="1"/>
  <c r="AD28" i="4" s="1"/>
  <c r="AE28" i="4" s="1"/>
  <c r="AF28" i="4" s="1"/>
  <c r="AG28" i="4" s="1"/>
  <c r="AH28" i="4" s="1"/>
  <c r="AI28" i="4" s="1"/>
  <c r="AJ28" i="4" s="1"/>
  <c r="AK28" i="4" s="1"/>
  <c r="AL28" i="4" s="1"/>
  <c r="AM28" i="4" s="1"/>
  <c r="T34" i="4"/>
  <c r="U34" i="4"/>
  <c r="V34" i="4" s="1"/>
  <c r="W34" i="4" s="1"/>
  <c r="X34" i="4" s="1"/>
  <c r="Y34" i="4" s="1"/>
  <c r="Z34" i="4" s="1"/>
  <c r="AA34" i="4" s="1"/>
  <c r="AB34" i="4" s="1"/>
  <c r="AC34" i="4" s="1"/>
  <c r="AD34" i="4" s="1"/>
  <c r="AE34" i="4" s="1"/>
  <c r="AF34" i="4" s="1"/>
  <c r="U29" i="4"/>
  <c r="V29" i="4" s="1"/>
  <c r="W29" i="4" s="1"/>
  <c r="X29" i="4" s="1"/>
  <c r="Y29" i="4" s="1"/>
  <c r="Z29" i="4" s="1"/>
  <c r="AA29" i="4" s="1"/>
  <c r="AB29" i="4" s="1"/>
  <c r="AC29" i="4" s="1"/>
  <c r="AD29" i="4" s="1"/>
  <c r="AE29" i="4" s="1"/>
  <c r="AF29" i="4" s="1"/>
  <c r="AG29" i="4" s="1"/>
  <c r="AH29" i="4" s="1"/>
  <c r="AI29" i="4" s="1"/>
  <c r="AJ29" i="4" s="1"/>
  <c r="AK29" i="4" s="1"/>
  <c r="AL29" i="4" s="1"/>
  <c r="AM29" i="4" s="1"/>
  <c r="AN29" i="4" s="1"/>
  <c r="T29" i="4"/>
  <c r="Q32" i="4"/>
  <c r="R32" i="4" s="1"/>
  <c r="S32" i="4" s="1"/>
  <c r="P35" i="4"/>
  <c r="Q30" i="4"/>
  <c r="R30" i="4" s="1"/>
  <c r="S30" i="4" s="1"/>
  <c r="P33" i="4"/>
  <c r="O43" i="4"/>
  <c r="O54" i="4"/>
  <c r="T26" i="4"/>
  <c r="U26" i="4"/>
  <c r="V26" i="4" s="1"/>
  <c r="W26" i="4" s="1"/>
  <c r="X26" i="4" s="1"/>
  <c r="Y26" i="4" s="1"/>
  <c r="Z26" i="4" s="1"/>
  <c r="AA26" i="4" s="1"/>
  <c r="AB26" i="4" s="1"/>
  <c r="AC26" i="4" s="1"/>
  <c r="AD26" i="4" s="1"/>
  <c r="AE26" i="4" s="1"/>
  <c r="AF26" i="4" s="1"/>
  <c r="AG26" i="4" s="1"/>
  <c r="AH26" i="4" s="1"/>
  <c r="AI26" i="4" s="1"/>
  <c r="AJ26" i="4" s="1"/>
  <c r="AK26" i="4" s="1"/>
  <c r="AL26" i="4" s="1"/>
  <c r="AM26" i="4" s="1"/>
  <c r="O60" i="4" l="1"/>
  <c r="Y134" i="4"/>
  <c r="Z134" i="4" s="1"/>
  <c r="AA134" i="4" s="1"/>
  <c r="AB134" i="4" s="1"/>
  <c r="AC134" i="4" s="1"/>
  <c r="AD134" i="4" s="1"/>
  <c r="AE134" i="4" s="1"/>
  <c r="AF134" i="4" s="1"/>
  <c r="AG134" i="4" s="1"/>
  <c r="AH134" i="4" s="1"/>
  <c r="AI134" i="4" s="1"/>
  <c r="AJ134" i="4" s="1"/>
  <c r="AK134" i="4" s="1"/>
  <c r="AL134" i="4" s="1"/>
  <c r="AM134" i="4" s="1"/>
  <c r="AN134" i="4" s="1"/>
  <c r="X136" i="4"/>
  <c r="O141" i="4"/>
  <c r="O145" i="4"/>
  <c r="O126" i="4"/>
  <c r="T32" i="4"/>
  <c r="U32" i="4"/>
  <c r="V32" i="4" s="1"/>
  <c r="W32" i="4" s="1"/>
  <c r="X32" i="4" s="1"/>
  <c r="Y32" i="4" s="1"/>
  <c r="Z32" i="4" s="1"/>
  <c r="AA32" i="4" s="1"/>
  <c r="AB32" i="4" s="1"/>
  <c r="AC32" i="4" s="1"/>
  <c r="AD32" i="4" s="1"/>
  <c r="AE32" i="4" s="1"/>
  <c r="AF32" i="4" s="1"/>
  <c r="AG32" i="4" s="1"/>
  <c r="AH32" i="4" s="1"/>
  <c r="AI32" i="4" s="1"/>
  <c r="AJ32" i="4" s="1"/>
  <c r="U30" i="4"/>
  <c r="V30" i="4" s="1"/>
  <c r="W30" i="4" s="1"/>
  <c r="X30" i="4" s="1"/>
  <c r="Y30" i="4" s="1"/>
  <c r="Z30" i="4" s="1"/>
  <c r="AA30" i="4" s="1"/>
  <c r="AB30" i="4" s="1"/>
  <c r="AC30" i="4" s="1"/>
  <c r="AD30" i="4" s="1"/>
  <c r="AE30" i="4" s="1"/>
  <c r="AF30" i="4" s="1"/>
  <c r="AG30" i="4" s="1"/>
  <c r="AH30" i="4" s="1"/>
  <c r="AI30" i="4" s="1"/>
  <c r="AJ30" i="4" s="1"/>
  <c r="AK30" i="4" s="1"/>
  <c r="AL30" i="4" s="1"/>
  <c r="AM30" i="4" s="1"/>
  <c r="T30" i="4"/>
  <c r="P38" i="4"/>
  <c r="Q35" i="4"/>
  <c r="R35" i="4" s="1"/>
  <c r="S35" i="4" s="1"/>
  <c r="Q33" i="4"/>
  <c r="R33" i="4" s="1"/>
  <c r="S33" i="4" s="1"/>
  <c r="P36" i="4"/>
  <c r="P40" i="4" s="1"/>
  <c r="O45" i="4"/>
  <c r="O58" i="4"/>
  <c r="O64" i="4" l="1"/>
  <c r="Y136" i="4"/>
  <c r="Z136" i="4" s="1"/>
  <c r="AA136" i="4" s="1"/>
  <c r="AB136" i="4" s="1"/>
  <c r="AC136" i="4" s="1"/>
  <c r="AD136" i="4" s="1"/>
  <c r="AE136" i="4" s="1"/>
  <c r="AF136" i="4" s="1"/>
  <c r="AG136" i="4" s="1"/>
  <c r="AH136" i="4" s="1"/>
  <c r="AI136" i="4" s="1"/>
  <c r="AJ136" i="4" s="1"/>
  <c r="AK136" i="4" s="1"/>
  <c r="AL136" i="4" s="1"/>
  <c r="AM136" i="4" s="1"/>
  <c r="AN136" i="4" s="1"/>
  <c r="X138" i="4"/>
  <c r="P44" i="4"/>
  <c r="Q40" i="4"/>
  <c r="R40" i="4" s="1"/>
  <c r="S40" i="4" s="1"/>
  <c r="O148" i="4"/>
  <c r="O128" i="4"/>
  <c r="O146" i="4"/>
  <c r="T35" i="4"/>
  <c r="U35" i="4"/>
  <c r="V35" i="4" s="1"/>
  <c r="W35" i="4" s="1"/>
  <c r="X35" i="4" s="1"/>
  <c r="Y35" i="4" s="1"/>
  <c r="Z35" i="4" s="1"/>
  <c r="AA35" i="4" s="1"/>
  <c r="AB35" i="4" s="1"/>
  <c r="AC35" i="4" s="1"/>
  <c r="AD35" i="4" s="1"/>
  <c r="AE35" i="4" s="1"/>
  <c r="AF35" i="4" s="1"/>
  <c r="AG35" i="4" s="1"/>
  <c r="AH35" i="4" s="1"/>
  <c r="AI35" i="4" s="1"/>
  <c r="AJ35" i="4" s="1"/>
  <c r="AK32" i="4"/>
  <c r="AL32" i="4" s="1"/>
  <c r="U33" i="4"/>
  <c r="V33" i="4" s="1"/>
  <c r="W33" i="4" s="1"/>
  <c r="X33" i="4" s="1"/>
  <c r="Y33" i="4" s="1"/>
  <c r="Z33" i="4" s="1"/>
  <c r="AA33" i="4" s="1"/>
  <c r="AB33" i="4" s="1"/>
  <c r="AC33" i="4" s="1"/>
  <c r="AD33" i="4" s="1"/>
  <c r="AE33" i="4" s="1"/>
  <c r="AF33" i="4" s="1"/>
  <c r="AG33" i="4" s="1"/>
  <c r="AH33" i="4" s="1"/>
  <c r="AI33" i="4" s="1"/>
  <c r="AJ33" i="4" s="1"/>
  <c r="AK33" i="4" s="1"/>
  <c r="AL33" i="4" s="1"/>
  <c r="AM33" i="4" s="1"/>
  <c r="T33" i="4"/>
  <c r="Q38" i="4"/>
  <c r="R38" i="4" s="1"/>
  <c r="S38" i="4" s="1"/>
  <c r="P42" i="4"/>
  <c r="P39" i="4"/>
  <c r="O62" i="4"/>
  <c r="O47" i="4"/>
  <c r="O68" i="4" l="1"/>
  <c r="Y138" i="4"/>
  <c r="Z138" i="4" s="1"/>
  <c r="AA138" i="4" s="1"/>
  <c r="AB138" i="4" s="1"/>
  <c r="AC138" i="4" s="1"/>
  <c r="AD138" i="4" s="1"/>
  <c r="AE138" i="4" s="1"/>
  <c r="AF138" i="4" s="1"/>
  <c r="AG138" i="4" s="1"/>
  <c r="AH138" i="4" s="1"/>
  <c r="AI138" i="4" s="1"/>
  <c r="AJ138" i="4" s="1"/>
  <c r="AK138" i="4" s="1"/>
  <c r="AL138" i="4" s="1"/>
  <c r="AM138" i="4" s="1"/>
  <c r="AN138" i="4" s="1"/>
  <c r="X140" i="4"/>
  <c r="T40" i="4"/>
  <c r="U40" i="4"/>
  <c r="V40" i="4" s="1"/>
  <c r="W40" i="4" s="1"/>
  <c r="X40" i="4" s="1"/>
  <c r="Y40" i="4" s="1"/>
  <c r="Z40" i="4" s="1"/>
  <c r="AA40" i="4" s="1"/>
  <c r="AB40" i="4" s="1"/>
  <c r="AC40" i="4" s="1"/>
  <c r="AD40" i="4" s="1"/>
  <c r="AE40" i="4" s="1"/>
  <c r="AF40" i="4" s="1"/>
  <c r="AG40" i="4" s="1"/>
  <c r="AH40" i="4" s="1"/>
  <c r="AI40" i="4" s="1"/>
  <c r="AJ40" i="4" s="1"/>
  <c r="AK40" i="4" s="1"/>
  <c r="AL40" i="4" s="1"/>
  <c r="AM40" i="4" s="1"/>
  <c r="P48" i="4"/>
  <c r="P52" i="4" s="1"/>
  <c r="P56" i="4" s="1"/>
  <c r="Q44" i="4"/>
  <c r="R44" i="4" s="1"/>
  <c r="S44" i="4" s="1"/>
  <c r="O130" i="4"/>
  <c r="O149" i="4"/>
  <c r="O151" i="4"/>
  <c r="AM32" i="4"/>
  <c r="AN32" i="4" s="1"/>
  <c r="AK35" i="4"/>
  <c r="AL35" i="4" s="1"/>
  <c r="P46" i="4"/>
  <c r="Q42" i="4"/>
  <c r="R42" i="4" s="1"/>
  <c r="S42" i="4" s="1"/>
  <c r="T38" i="4"/>
  <c r="U38" i="4"/>
  <c r="V38" i="4" s="1"/>
  <c r="W38" i="4" s="1"/>
  <c r="X38" i="4" s="1"/>
  <c r="Y38" i="4" s="1"/>
  <c r="Z38" i="4" s="1"/>
  <c r="AA38" i="4" s="1"/>
  <c r="AB38" i="4" s="1"/>
  <c r="AC38" i="4" s="1"/>
  <c r="AD38" i="4" s="1"/>
  <c r="AE38" i="4" s="1"/>
  <c r="AF38" i="4" s="1"/>
  <c r="AG38" i="4" s="1"/>
  <c r="AH38" i="4" s="1"/>
  <c r="AI38" i="4" s="1"/>
  <c r="AJ38" i="4" s="1"/>
  <c r="Q39" i="4"/>
  <c r="R39" i="4" s="1"/>
  <c r="S39" i="4" s="1"/>
  <c r="P41" i="4"/>
  <c r="O49" i="4"/>
  <c r="O67" i="4"/>
  <c r="O71" i="4" l="1"/>
  <c r="Y140" i="4"/>
  <c r="Z140" i="4" s="1"/>
  <c r="AA140" i="4" s="1"/>
  <c r="AB140" i="4" s="1"/>
  <c r="AC140" i="4" s="1"/>
  <c r="AD140" i="4" s="1"/>
  <c r="AE140" i="4" s="1"/>
  <c r="AF140" i="4" s="1"/>
  <c r="AG140" i="4" s="1"/>
  <c r="AH140" i="4" s="1"/>
  <c r="AI140" i="4" s="1"/>
  <c r="AJ140" i="4" s="1"/>
  <c r="AK140" i="4" s="1"/>
  <c r="AL140" i="4" s="1"/>
  <c r="AM140" i="4" s="1"/>
  <c r="AN140" i="4" s="1"/>
  <c r="X142" i="4"/>
  <c r="T44" i="4"/>
  <c r="U44" i="4"/>
  <c r="V44" i="4" s="1"/>
  <c r="W44" i="4" s="1"/>
  <c r="X44" i="4" s="1"/>
  <c r="Y44" i="4" s="1"/>
  <c r="Z44" i="4" s="1"/>
  <c r="AA44" i="4" s="1"/>
  <c r="AB44" i="4" s="1"/>
  <c r="AC44" i="4" s="1"/>
  <c r="AD44" i="4" s="1"/>
  <c r="AE44" i="4" s="1"/>
  <c r="AF44" i="4" s="1"/>
  <c r="AG44" i="4" s="1"/>
  <c r="AH44" i="4" s="1"/>
  <c r="AI44" i="4" s="1"/>
  <c r="AJ44" i="4" s="1"/>
  <c r="AK44" i="4" s="1"/>
  <c r="AL44" i="4" s="1"/>
  <c r="AM44" i="4" s="1"/>
  <c r="P60" i="4"/>
  <c r="P64" i="4" s="1"/>
  <c r="P68" i="4" s="1"/>
  <c r="P71" i="4" s="1"/>
  <c r="P74" i="4" s="1"/>
  <c r="P77" i="4" s="1"/>
  <c r="Q56" i="4"/>
  <c r="R56" i="4" s="1"/>
  <c r="S56" i="4" s="1"/>
  <c r="O152" i="4"/>
  <c r="O154" i="4"/>
  <c r="O132" i="4"/>
  <c r="Q41" i="4"/>
  <c r="R41" i="4" s="1"/>
  <c r="S41" i="4" s="1"/>
  <c r="T41" i="4" s="1"/>
  <c r="P43" i="4"/>
  <c r="P45" i="4" s="1"/>
  <c r="P47" i="4" s="1"/>
  <c r="P49" i="4" s="1"/>
  <c r="P51" i="4" s="1"/>
  <c r="P53" i="4" s="1"/>
  <c r="P55" i="4" s="1"/>
  <c r="P57" i="4" s="1"/>
  <c r="P59" i="4" s="1"/>
  <c r="P61" i="4" s="1"/>
  <c r="P63" i="4" s="1"/>
  <c r="P65" i="4" s="1"/>
  <c r="AM35" i="4"/>
  <c r="AN35" i="4" s="1"/>
  <c r="AK38" i="4"/>
  <c r="AL38" i="4" s="1"/>
  <c r="P50" i="4"/>
  <c r="Q46" i="4"/>
  <c r="R46" i="4" s="1"/>
  <c r="S46" i="4" s="1"/>
  <c r="T39" i="4"/>
  <c r="U39" i="4"/>
  <c r="V39" i="4" s="1"/>
  <c r="W39" i="4" s="1"/>
  <c r="X39" i="4" s="1"/>
  <c r="Y39" i="4" s="1"/>
  <c r="Z39" i="4" s="1"/>
  <c r="AA39" i="4" s="1"/>
  <c r="AB39" i="4" s="1"/>
  <c r="AC39" i="4" s="1"/>
  <c r="AD39" i="4" s="1"/>
  <c r="AE39" i="4" s="1"/>
  <c r="AF39" i="4" s="1"/>
  <c r="T42" i="4"/>
  <c r="U42" i="4"/>
  <c r="V42" i="4" s="1"/>
  <c r="W42" i="4" s="1"/>
  <c r="X42" i="4" s="1"/>
  <c r="Y42" i="4" s="1"/>
  <c r="Z42" i="4" s="1"/>
  <c r="AA42" i="4" s="1"/>
  <c r="AB42" i="4" s="1"/>
  <c r="AC42" i="4" s="1"/>
  <c r="AD42" i="4" s="1"/>
  <c r="AE42" i="4" s="1"/>
  <c r="AF42" i="4" s="1"/>
  <c r="AG42" i="4" s="1"/>
  <c r="AH42" i="4" s="1"/>
  <c r="AI42" i="4" s="1"/>
  <c r="AJ42" i="4" s="1"/>
  <c r="AK42" i="4" s="1"/>
  <c r="AL42" i="4" s="1"/>
  <c r="AM42" i="4" s="1"/>
  <c r="AN42" i="4" s="1"/>
  <c r="O70" i="4"/>
  <c r="O51" i="4"/>
  <c r="O74" i="4" l="1"/>
  <c r="Y142" i="4"/>
  <c r="Z142" i="4" s="1"/>
  <c r="AA142" i="4" s="1"/>
  <c r="AB142" i="4" s="1"/>
  <c r="AC142" i="4" s="1"/>
  <c r="AD142" i="4" s="1"/>
  <c r="AE142" i="4" s="1"/>
  <c r="AF142" i="4" s="1"/>
  <c r="AG142" i="4" s="1"/>
  <c r="AH142" i="4" s="1"/>
  <c r="AI142" i="4" s="1"/>
  <c r="AJ142" i="4" s="1"/>
  <c r="AK142" i="4" s="1"/>
  <c r="AL142" i="4" s="1"/>
  <c r="AM142" i="4" s="1"/>
  <c r="AN142" i="4" s="1"/>
  <c r="X144" i="4"/>
  <c r="T56" i="4"/>
  <c r="U56" i="4"/>
  <c r="V56" i="4" s="1"/>
  <c r="W56" i="4" s="1"/>
  <c r="X56" i="4" s="1"/>
  <c r="Y56" i="4" s="1"/>
  <c r="Z56" i="4" s="1"/>
  <c r="AA56" i="4" s="1"/>
  <c r="AB56" i="4" s="1"/>
  <c r="AC56" i="4" s="1"/>
  <c r="AD56" i="4" s="1"/>
  <c r="AE56" i="4" s="1"/>
  <c r="AF56" i="4" s="1"/>
  <c r="AG56" i="4" s="1"/>
  <c r="AH56" i="4" s="1"/>
  <c r="AI56" i="4" s="1"/>
  <c r="AJ56" i="4" s="1"/>
  <c r="AK56" i="4" s="1"/>
  <c r="AL56" i="4" s="1"/>
  <c r="AM56" i="4" s="1"/>
  <c r="O158" i="4"/>
  <c r="O134" i="4"/>
  <c r="O155" i="4"/>
  <c r="Q43" i="4"/>
  <c r="R43" i="4" s="1"/>
  <c r="S43" i="4" s="1"/>
  <c r="U43" i="4" s="1"/>
  <c r="V43" i="4" s="1"/>
  <c r="W43" i="4" s="1"/>
  <c r="X43" i="4" s="1"/>
  <c r="Y43" i="4" s="1"/>
  <c r="Z43" i="4" s="1"/>
  <c r="AA43" i="4" s="1"/>
  <c r="AB43" i="4" s="1"/>
  <c r="AC43" i="4" s="1"/>
  <c r="AD43" i="4" s="1"/>
  <c r="AE43" i="4" s="1"/>
  <c r="AF43" i="4" s="1"/>
  <c r="U41" i="4"/>
  <c r="V41" i="4" s="1"/>
  <c r="W41" i="4" s="1"/>
  <c r="X41" i="4" s="1"/>
  <c r="Y41" i="4" s="1"/>
  <c r="Z41" i="4" s="1"/>
  <c r="AA41" i="4" s="1"/>
  <c r="AB41" i="4" s="1"/>
  <c r="AC41" i="4" s="1"/>
  <c r="AD41" i="4" s="1"/>
  <c r="AE41" i="4" s="1"/>
  <c r="AF41" i="4" s="1"/>
  <c r="Q45" i="4"/>
  <c r="R45" i="4" s="1"/>
  <c r="S45" i="4" s="1"/>
  <c r="U45" i="4" s="1"/>
  <c r="V45" i="4" s="1"/>
  <c r="W45" i="4" s="1"/>
  <c r="X45" i="4" s="1"/>
  <c r="Y45" i="4" s="1"/>
  <c r="Z45" i="4" s="1"/>
  <c r="AA45" i="4" s="1"/>
  <c r="AB45" i="4" s="1"/>
  <c r="AC45" i="4" s="1"/>
  <c r="AD45" i="4" s="1"/>
  <c r="AE45" i="4" s="1"/>
  <c r="AF45" i="4" s="1"/>
  <c r="P66" i="4"/>
  <c r="Q65" i="4"/>
  <c r="R65" i="4" s="1"/>
  <c r="S65" i="4" s="1"/>
  <c r="AM38" i="4"/>
  <c r="AN38" i="4" s="1"/>
  <c r="Q47" i="4"/>
  <c r="R47" i="4" s="1"/>
  <c r="S47" i="4" s="1"/>
  <c r="T46" i="4"/>
  <c r="U46" i="4"/>
  <c r="V46" i="4" s="1"/>
  <c r="W46" i="4" s="1"/>
  <c r="X46" i="4" s="1"/>
  <c r="Y46" i="4" s="1"/>
  <c r="Z46" i="4" s="1"/>
  <c r="AA46" i="4" s="1"/>
  <c r="AB46" i="4" s="1"/>
  <c r="AC46" i="4" s="1"/>
  <c r="AD46" i="4" s="1"/>
  <c r="AE46" i="4" s="1"/>
  <c r="AF46" i="4" s="1"/>
  <c r="AG46" i="4" s="1"/>
  <c r="AH46" i="4" s="1"/>
  <c r="AI46" i="4" s="1"/>
  <c r="AJ46" i="4" s="1"/>
  <c r="AK46" i="4" s="1"/>
  <c r="AL46" i="4" s="1"/>
  <c r="AM46" i="4" s="1"/>
  <c r="AN46" i="4" s="1"/>
  <c r="P54" i="4"/>
  <c r="P58" i="4" s="1"/>
  <c r="P62" i="4" s="1"/>
  <c r="P67" i="4" s="1"/>
  <c r="Q50" i="4"/>
  <c r="R50" i="4" s="1"/>
  <c r="S50" i="4" s="1"/>
  <c r="O73" i="4"/>
  <c r="O53" i="4"/>
  <c r="O77" i="4" l="1"/>
  <c r="Y144" i="4"/>
  <c r="Z144" i="4" s="1"/>
  <c r="AA144" i="4" s="1"/>
  <c r="AB144" i="4" s="1"/>
  <c r="AC144" i="4" s="1"/>
  <c r="AD144" i="4" s="1"/>
  <c r="AE144" i="4" s="1"/>
  <c r="AF144" i="4" s="1"/>
  <c r="AG144" i="4" s="1"/>
  <c r="AH144" i="4" s="1"/>
  <c r="AI144" i="4" s="1"/>
  <c r="AJ144" i="4" s="1"/>
  <c r="AK144" i="4" s="1"/>
  <c r="AL144" i="4" s="1"/>
  <c r="AM144" i="4" s="1"/>
  <c r="AN144" i="4" s="1"/>
  <c r="X147" i="4"/>
  <c r="T43" i="4"/>
  <c r="T45" i="4"/>
  <c r="O136" i="4"/>
  <c r="Q54" i="4"/>
  <c r="R54" i="4" s="1"/>
  <c r="S54" i="4" s="1"/>
  <c r="U54" i="4" s="1"/>
  <c r="V54" i="4" s="1"/>
  <c r="W54" i="4" s="1"/>
  <c r="X54" i="4" s="1"/>
  <c r="Y54" i="4" s="1"/>
  <c r="Z54" i="4" s="1"/>
  <c r="AA54" i="4" s="1"/>
  <c r="AB54" i="4" s="1"/>
  <c r="AC54" i="4" s="1"/>
  <c r="AD54" i="4" s="1"/>
  <c r="AE54" i="4" s="1"/>
  <c r="AF54" i="4" s="1"/>
  <c r="AG54" i="4" s="1"/>
  <c r="AH54" i="4" s="1"/>
  <c r="AI54" i="4" s="1"/>
  <c r="AJ54" i="4" s="1"/>
  <c r="AK54" i="4" s="1"/>
  <c r="AL54" i="4" s="1"/>
  <c r="AM54" i="4" s="1"/>
  <c r="AN54" i="4" s="1"/>
  <c r="T65" i="4"/>
  <c r="U65" i="4"/>
  <c r="V65" i="4" s="1"/>
  <c r="W65" i="4" s="1"/>
  <c r="X65" i="4" s="1"/>
  <c r="Y65" i="4" s="1"/>
  <c r="Z65" i="4" s="1"/>
  <c r="AA65" i="4" s="1"/>
  <c r="AB65" i="4" s="1"/>
  <c r="AC65" i="4" s="1"/>
  <c r="AD65" i="4" s="1"/>
  <c r="AE65" i="4" s="1"/>
  <c r="AF65" i="4" s="1"/>
  <c r="P69" i="4"/>
  <c r="Q66" i="4"/>
  <c r="R66" i="4" s="1"/>
  <c r="S66" i="4" s="1"/>
  <c r="Q48" i="4"/>
  <c r="R48" i="4" s="1"/>
  <c r="S48" i="4" s="1"/>
  <c r="Q49" i="4"/>
  <c r="R49" i="4" s="1"/>
  <c r="S49" i="4" s="1"/>
  <c r="Q51" i="4"/>
  <c r="R51" i="4" s="1"/>
  <c r="S51" i="4" s="1"/>
  <c r="U47" i="4"/>
  <c r="V47" i="4" s="1"/>
  <c r="W47" i="4" s="1"/>
  <c r="X47" i="4" s="1"/>
  <c r="Y47" i="4" s="1"/>
  <c r="Z47" i="4" s="1"/>
  <c r="AA47" i="4" s="1"/>
  <c r="AB47" i="4" s="1"/>
  <c r="AC47" i="4" s="1"/>
  <c r="AD47" i="4" s="1"/>
  <c r="AE47" i="4" s="1"/>
  <c r="AF47" i="4" s="1"/>
  <c r="T47" i="4"/>
  <c r="T50" i="4"/>
  <c r="U50" i="4"/>
  <c r="V50" i="4" s="1"/>
  <c r="W50" i="4" s="1"/>
  <c r="X50" i="4" s="1"/>
  <c r="Y50" i="4" s="1"/>
  <c r="Z50" i="4" s="1"/>
  <c r="AA50" i="4" s="1"/>
  <c r="AB50" i="4" s="1"/>
  <c r="AC50" i="4" s="1"/>
  <c r="AD50" i="4" s="1"/>
  <c r="AE50" i="4" s="1"/>
  <c r="AF50" i="4" s="1"/>
  <c r="AG50" i="4" s="1"/>
  <c r="AH50" i="4" s="1"/>
  <c r="AI50" i="4" s="1"/>
  <c r="AJ50" i="4" s="1"/>
  <c r="AK50" i="4" s="1"/>
  <c r="AL50" i="4" s="1"/>
  <c r="AM50" i="4" s="1"/>
  <c r="AN50" i="4" s="1"/>
  <c r="T54" i="4"/>
  <c r="O55" i="4"/>
  <c r="O76" i="4"/>
  <c r="Q55" i="4"/>
  <c r="R55" i="4" s="1"/>
  <c r="S55" i="4" s="1"/>
  <c r="Y147" i="4" l="1"/>
  <c r="Z147" i="4" s="1"/>
  <c r="AA147" i="4" s="1"/>
  <c r="AB147" i="4" s="1"/>
  <c r="AC147" i="4" s="1"/>
  <c r="AD147" i="4" s="1"/>
  <c r="AE147" i="4" s="1"/>
  <c r="AF147" i="4" s="1"/>
  <c r="AG147" i="4" s="1"/>
  <c r="AH147" i="4" s="1"/>
  <c r="AI147" i="4" s="1"/>
  <c r="AJ147" i="4" s="1"/>
  <c r="AK147" i="4" s="1"/>
  <c r="AL147" i="4" s="1"/>
  <c r="AM147" i="4" s="1"/>
  <c r="AN147" i="4" s="1"/>
  <c r="X150" i="4"/>
  <c r="O138" i="4"/>
  <c r="T66" i="4"/>
  <c r="U66" i="4"/>
  <c r="V66" i="4" s="1"/>
  <c r="W66" i="4" s="1"/>
  <c r="X66" i="4" s="1"/>
  <c r="Y66" i="4" s="1"/>
  <c r="Z66" i="4" s="1"/>
  <c r="AA66" i="4" s="1"/>
  <c r="AB66" i="4" s="1"/>
  <c r="AC66" i="4" s="1"/>
  <c r="AD66" i="4" s="1"/>
  <c r="AE66" i="4" s="1"/>
  <c r="AF66" i="4" s="1"/>
  <c r="P72" i="4"/>
  <c r="P75" i="4" s="1"/>
  <c r="P78" i="4" s="1"/>
  <c r="Q78" i="4" s="1"/>
  <c r="R78" i="4" s="1"/>
  <c r="S78" i="4" s="1"/>
  <c r="Q69" i="4"/>
  <c r="R69" i="4" s="1"/>
  <c r="S69" i="4" s="1"/>
  <c r="Q53" i="4"/>
  <c r="R53" i="4" s="1"/>
  <c r="S53" i="4" s="1"/>
  <c r="T51" i="4"/>
  <c r="U51" i="4"/>
  <c r="V51" i="4" s="1"/>
  <c r="W51" i="4" s="1"/>
  <c r="X51" i="4" s="1"/>
  <c r="Y51" i="4" s="1"/>
  <c r="Z51" i="4" s="1"/>
  <c r="AA51" i="4" s="1"/>
  <c r="AB51" i="4" s="1"/>
  <c r="AC51" i="4" s="1"/>
  <c r="AD51" i="4" s="1"/>
  <c r="AE51" i="4" s="1"/>
  <c r="AF51" i="4" s="1"/>
  <c r="U49" i="4"/>
  <c r="V49" i="4" s="1"/>
  <c r="W49" i="4" s="1"/>
  <c r="X49" i="4" s="1"/>
  <c r="Y49" i="4" s="1"/>
  <c r="Z49" i="4" s="1"/>
  <c r="AA49" i="4" s="1"/>
  <c r="AB49" i="4" s="1"/>
  <c r="AC49" i="4" s="1"/>
  <c r="AD49" i="4" s="1"/>
  <c r="AE49" i="4" s="1"/>
  <c r="AF49" i="4" s="1"/>
  <c r="T49" i="4"/>
  <c r="T48" i="4"/>
  <c r="U48" i="4"/>
  <c r="V48" i="4" s="1"/>
  <c r="W48" i="4" s="1"/>
  <c r="X48" i="4" s="1"/>
  <c r="Y48" i="4" s="1"/>
  <c r="Z48" i="4" s="1"/>
  <c r="AA48" i="4" s="1"/>
  <c r="AB48" i="4" s="1"/>
  <c r="AC48" i="4" s="1"/>
  <c r="AD48" i="4" s="1"/>
  <c r="AE48" i="4" s="1"/>
  <c r="AF48" i="4" s="1"/>
  <c r="AG48" i="4" s="1"/>
  <c r="AH48" i="4" s="1"/>
  <c r="AI48" i="4" s="1"/>
  <c r="AJ48" i="4" s="1"/>
  <c r="AK48" i="4" s="1"/>
  <c r="AL48" i="4" s="1"/>
  <c r="AM48" i="4" s="1"/>
  <c r="T55" i="4"/>
  <c r="U55" i="4"/>
  <c r="V55" i="4" s="1"/>
  <c r="W55" i="4" s="1"/>
  <c r="X55" i="4" s="1"/>
  <c r="Y55" i="4" s="1"/>
  <c r="Z55" i="4" s="1"/>
  <c r="AA55" i="4" s="1"/>
  <c r="AB55" i="4" s="1"/>
  <c r="AC55" i="4" s="1"/>
  <c r="AD55" i="4" s="1"/>
  <c r="AE55" i="4" s="1"/>
  <c r="AF55" i="4" s="1"/>
  <c r="O57" i="4"/>
  <c r="O79" i="4"/>
  <c r="Q57" i="4"/>
  <c r="R57" i="4" s="1"/>
  <c r="S57" i="4" s="1"/>
  <c r="Y150" i="4" l="1"/>
  <c r="Z150" i="4" s="1"/>
  <c r="AA150" i="4" s="1"/>
  <c r="AB150" i="4" s="1"/>
  <c r="AC150" i="4" s="1"/>
  <c r="AD150" i="4" s="1"/>
  <c r="AE150" i="4" s="1"/>
  <c r="AF150" i="4" s="1"/>
  <c r="AG150" i="4" s="1"/>
  <c r="AH150" i="4" s="1"/>
  <c r="AI150" i="4" s="1"/>
  <c r="AJ150" i="4" s="1"/>
  <c r="AK150" i="4" s="1"/>
  <c r="AL150" i="4" s="1"/>
  <c r="AM150" i="4" s="1"/>
  <c r="AN150" i="4" s="1"/>
  <c r="X153" i="4"/>
  <c r="Y153" i="4" s="1"/>
  <c r="Z153" i="4" s="1"/>
  <c r="AA153" i="4" s="1"/>
  <c r="AB153" i="4" s="1"/>
  <c r="AC153" i="4" s="1"/>
  <c r="AD153" i="4" s="1"/>
  <c r="AE153" i="4" s="1"/>
  <c r="AF153" i="4" s="1"/>
  <c r="AG153" i="4" s="1"/>
  <c r="AH153" i="4" s="1"/>
  <c r="AI153" i="4" s="1"/>
  <c r="AJ153" i="4" s="1"/>
  <c r="AK153" i="4" s="1"/>
  <c r="AL153" i="4" s="1"/>
  <c r="AM153" i="4" s="1"/>
  <c r="AN153" i="4" s="1"/>
  <c r="O140" i="4"/>
  <c r="T69" i="4"/>
  <c r="U69" i="4"/>
  <c r="V69" i="4" s="1"/>
  <c r="W69" i="4" s="1"/>
  <c r="X69" i="4" s="1"/>
  <c r="Y69" i="4" s="1"/>
  <c r="Z69" i="4" s="1"/>
  <c r="AA69" i="4" s="1"/>
  <c r="AB69" i="4" s="1"/>
  <c r="AC69" i="4" s="1"/>
  <c r="AD69" i="4" s="1"/>
  <c r="AE69" i="4" s="1"/>
  <c r="AF69" i="4" s="1"/>
  <c r="T78" i="4"/>
  <c r="U78" i="4"/>
  <c r="V78" i="4" s="1"/>
  <c r="W78" i="4" s="1"/>
  <c r="X78" i="4" s="1"/>
  <c r="Y78" i="4" s="1"/>
  <c r="Z78" i="4" s="1"/>
  <c r="AA78" i="4" s="1"/>
  <c r="AB78" i="4" s="1"/>
  <c r="AC78" i="4" s="1"/>
  <c r="AD78" i="4" s="1"/>
  <c r="AE78" i="4" s="1"/>
  <c r="AF78" i="4" s="1"/>
  <c r="U53" i="4"/>
  <c r="V53" i="4" s="1"/>
  <c r="W53" i="4" s="1"/>
  <c r="X53" i="4" s="1"/>
  <c r="Y53" i="4" s="1"/>
  <c r="Z53" i="4" s="1"/>
  <c r="AA53" i="4" s="1"/>
  <c r="AB53" i="4" s="1"/>
  <c r="AC53" i="4" s="1"/>
  <c r="AD53" i="4" s="1"/>
  <c r="AE53" i="4" s="1"/>
  <c r="AF53" i="4" s="1"/>
  <c r="T53" i="4"/>
  <c r="T57" i="4"/>
  <c r="U57" i="4"/>
  <c r="V57" i="4" s="1"/>
  <c r="W57" i="4" s="1"/>
  <c r="X57" i="4" s="1"/>
  <c r="Y57" i="4" s="1"/>
  <c r="Z57" i="4" s="1"/>
  <c r="AA57" i="4" s="1"/>
  <c r="AB57" i="4" s="1"/>
  <c r="AC57" i="4" s="1"/>
  <c r="AD57" i="4" s="1"/>
  <c r="AE57" i="4" s="1"/>
  <c r="AF57" i="4" s="1"/>
  <c r="O59" i="4"/>
  <c r="Q58" i="4"/>
  <c r="R58" i="4" s="1"/>
  <c r="S58" i="4" s="1"/>
  <c r="O142" i="4" l="1"/>
  <c r="T58" i="4"/>
  <c r="U58" i="4"/>
  <c r="V58" i="4" s="1"/>
  <c r="W58" i="4" s="1"/>
  <c r="X58" i="4" s="1"/>
  <c r="Y58" i="4" s="1"/>
  <c r="Z58" i="4" s="1"/>
  <c r="AA58" i="4" s="1"/>
  <c r="AB58" i="4" s="1"/>
  <c r="AC58" i="4" s="1"/>
  <c r="AD58" i="4" s="1"/>
  <c r="AE58" i="4" s="1"/>
  <c r="AF58" i="4" s="1"/>
  <c r="AG58" i="4" s="1"/>
  <c r="AH58" i="4" s="1"/>
  <c r="AI58" i="4" s="1"/>
  <c r="AJ58" i="4" s="1"/>
  <c r="AK58" i="4" s="1"/>
  <c r="AL58" i="4" s="1"/>
  <c r="AM58" i="4" s="1"/>
  <c r="AN58" i="4" s="1"/>
  <c r="O61" i="4"/>
  <c r="Q59" i="4"/>
  <c r="R59" i="4" s="1"/>
  <c r="S59" i="4" s="1"/>
  <c r="O144" i="4" l="1"/>
  <c r="T59" i="4"/>
  <c r="U59" i="4"/>
  <c r="V59" i="4" s="1"/>
  <c r="W59" i="4" s="1"/>
  <c r="X59" i="4" s="1"/>
  <c r="Y59" i="4" s="1"/>
  <c r="Z59" i="4" s="1"/>
  <c r="AA59" i="4" s="1"/>
  <c r="AB59" i="4" s="1"/>
  <c r="AC59" i="4" s="1"/>
  <c r="AD59" i="4" s="1"/>
  <c r="AE59" i="4" s="1"/>
  <c r="AF59" i="4" s="1"/>
  <c r="O63" i="4"/>
  <c r="Q60" i="4"/>
  <c r="R60" i="4" s="1"/>
  <c r="S60" i="4" s="1"/>
  <c r="O147" i="4" l="1"/>
  <c r="O65" i="4"/>
  <c r="T60" i="4"/>
  <c r="U60" i="4"/>
  <c r="V60" i="4" s="1"/>
  <c r="W60" i="4" s="1"/>
  <c r="X60" i="4" s="1"/>
  <c r="Y60" i="4" s="1"/>
  <c r="Z60" i="4" s="1"/>
  <c r="AA60" i="4" s="1"/>
  <c r="AB60" i="4" s="1"/>
  <c r="AC60" i="4" s="1"/>
  <c r="AD60" i="4" s="1"/>
  <c r="AE60" i="4" s="1"/>
  <c r="AF60" i="4" s="1"/>
  <c r="AG60" i="4" s="1"/>
  <c r="AH60" i="4" s="1"/>
  <c r="AI60" i="4" s="1"/>
  <c r="AJ60" i="4" s="1"/>
  <c r="AK60" i="4" s="1"/>
  <c r="AL60" i="4" s="1"/>
  <c r="AM60" i="4" s="1"/>
  <c r="Q61" i="4"/>
  <c r="R61" i="4" s="1"/>
  <c r="S61" i="4" s="1"/>
  <c r="O150" i="4" l="1"/>
  <c r="T61" i="4"/>
  <c r="U61" i="4"/>
  <c r="V61" i="4" s="1"/>
  <c r="W61" i="4" s="1"/>
  <c r="X61" i="4" s="1"/>
  <c r="Y61" i="4" s="1"/>
  <c r="Z61" i="4" s="1"/>
  <c r="AA61" i="4" s="1"/>
  <c r="AB61" i="4" s="1"/>
  <c r="AC61" i="4" s="1"/>
  <c r="AD61" i="4" s="1"/>
  <c r="AE61" i="4" s="1"/>
  <c r="AF61" i="4" s="1"/>
  <c r="O66" i="4"/>
  <c r="O153" i="4" l="1"/>
  <c r="Q67" i="4"/>
  <c r="R67" i="4" s="1"/>
  <c r="S67" i="4" s="1"/>
  <c r="Q62" i="4"/>
  <c r="R62" i="4" s="1"/>
  <c r="S62" i="4" s="1"/>
  <c r="O69" i="4"/>
  <c r="Q63" i="4"/>
  <c r="R63" i="4" s="1"/>
  <c r="S63" i="4" s="1"/>
  <c r="T67" i="4" l="1"/>
  <c r="U67" i="4"/>
  <c r="V67" i="4" s="1"/>
  <c r="W67" i="4" s="1"/>
  <c r="X67" i="4" s="1"/>
  <c r="Y67" i="4" s="1"/>
  <c r="Z67" i="4" s="1"/>
  <c r="AA67" i="4" s="1"/>
  <c r="AB67" i="4" s="1"/>
  <c r="AC67" i="4" s="1"/>
  <c r="AD67" i="4" s="1"/>
  <c r="AE67" i="4" s="1"/>
  <c r="AF67" i="4" s="1"/>
  <c r="AG67" i="4" s="1"/>
  <c r="AH67" i="4" s="1"/>
  <c r="AI67" i="4" s="1"/>
  <c r="AJ67" i="4" s="1"/>
  <c r="AK67" i="4" s="1"/>
  <c r="AL67" i="4" s="1"/>
  <c r="T62" i="4"/>
  <c r="U62" i="4"/>
  <c r="V62" i="4" s="1"/>
  <c r="W62" i="4" s="1"/>
  <c r="X62" i="4" s="1"/>
  <c r="Y62" i="4" s="1"/>
  <c r="Z62" i="4" s="1"/>
  <c r="AA62" i="4" s="1"/>
  <c r="AB62" i="4" s="1"/>
  <c r="AC62" i="4" s="1"/>
  <c r="AD62" i="4" s="1"/>
  <c r="AE62" i="4" s="1"/>
  <c r="AF62" i="4" s="1"/>
  <c r="AG62" i="4" s="1"/>
  <c r="AH62" i="4" s="1"/>
  <c r="AI62" i="4" s="1"/>
  <c r="AJ62" i="4" s="1"/>
  <c r="AK62" i="4" s="1"/>
  <c r="AL62" i="4" s="1"/>
  <c r="AM62" i="4" s="1"/>
  <c r="AN62" i="4" s="1"/>
  <c r="T63" i="4"/>
  <c r="U63" i="4"/>
  <c r="V63" i="4" s="1"/>
  <c r="W63" i="4" s="1"/>
  <c r="X63" i="4" s="1"/>
  <c r="Y63" i="4" s="1"/>
  <c r="Z63" i="4" s="1"/>
  <c r="AA63" i="4" s="1"/>
  <c r="AB63" i="4" s="1"/>
  <c r="AC63" i="4" s="1"/>
  <c r="AD63" i="4" s="1"/>
  <c r="AE63" i="4" s="1"/>
  <c r="AF63" i="4" s="1"/>
  <c r="O72" i="4"/>
  <c r="P70" i="4"/>
  <c r="Q70" i="4" s="1"/>
  <c r="R70" i="4" s="1"/>
  <c r="S70" i="4" s="1"/>
  <c r="Q68" i="4"/>
  <c r="R68" i="4" s="1"/>
  <c r="S68" i="4" s="1"/>
  <c r="Q64" i="4"/>
  <c r="R64" i="4" s="1"/>
  <c r="S64" i="4" s="1"/>
  <c r="AM67" i="4" l="1"/>
  <c r="AN67" i="4" s="1"/>
  <c r="T68" i="4"/>
  <c r="U68" i="4"/>
  <c r="V68" i="4" s="1"/>
  <c r="W68" i="4" s="1"/>
  <c r="X68" i="4" s="1"/>
  <c r="Y68" i="4" s="1"/>
  <c r="Z68" i="4" s="1"/>
  <c r="AA68" i="4" s="1"/>
  <c r="AB68" i="4" s="1"/>
  <c r="AC68" i="4" s="1"/>
  <c r="AD68" i="4" s="1"/>
  <c r="AE68" i="4" s="1"/>
  <c r="AF68" i="4" s="1"/>
  <c r="AG68" i="4" s="1"/>
  <c r="AH68" i="4" s="1"/>
  <c r="AI68" i="4" s="1"/>
  <c r="AJ68" i="4" s="1"/>
  <c r="AK68" i="4" s="1"/>
  <c r="AL68" i="4" s="1"/>
  <c r="AM68" i="4" s="1"/>
  <c r="T70" i="4"/>
  <c r="U70" i="4"/>
  <c r="V70" i="4" s="1"/>
  <c r="W70" i="4" s="1"/>
  <c r="X70" i="4" s="1"/>
  <c r="Y70" i="4" s="1"/>
  <c r="Z70" i="4" s="1"/>
  <c r="AA70" i="4" s="1"/>
  <c r="AB70" i="4" s="1"/>
  <c r="AC70" i="4" s="1"/>
  <c r="AD70" i="4" s="1"/>
  <c r="AE70" i="4" s="1"/>
  <c r="AF70" i="4" s="1"/>
  <c r="AG70" i="4" s="1"/>
  <c r="AH70" i="4" s="1"/>
  <c r="AI70" i="4" s="1"/>
  <c r="AJ70" i="4" s="1"/>
  <c r="AK70" i="4" s="1"/>
  <c r="AL70" i="4" s="1"/>
  <c r="AM70" i="4" s="1"/>
  <c r="AN70" i="4" s="1"/>
  <c r="T64" i="4"/>
  <c r="U64" i="4"/>
  <c r="V64" i="4" s="1"/>
  <c r="W64" i="4" s="1"/>
  <c r="X64" i="4" s="1"/>
  <c r="Y64" i="4" s="1"/>
  <c r="Z64" i="4" s="1"/>
  <c r="AA64" i="4" s="1"/>
  <c r="AB64" i="4" s="1"/>
  <c r="AC64" i="4" s="1"/>
  <c r="AD64" i="4" s="1"/>
  <c r="AE64" i="4" s="1"/>
  <c r="AF64" i="4" s="1"/>
  <c r="AG64" i="4" s="1"/>
  <c r="AH64" i="4" s="1"/>
  <c r="AI64" i="4" s="1"/>
  <c r="AJ64" i="4" s="1"/>
  <c r="AK64" i="4" s="1"/>
  <c r="AL64" i="4" s="1"/>
  <c r="AM64" i="4" s="1"/>
  <c r="O75" i="4"/>
  <c r="P73" i="4"/>
  <c r="Q73" i="4" s="1"/>
  <c r="R73" i="4" s="1"/>
  <c r="S73" i="4" s="1"/>
  <c r="Q71" i="4"/>
  <c r="R71" i="4" s="1"/>
  <c r="S71" i="4" s="1"/>
  <c r="T71" i="4" l="1"/>
  <c r="U71" i="4"/>
  <c r="V71" i="4" s="1"/>
  <c r="W71" i="4" s="1"/>
  <c r="X71" i="4" s="1"/>
  <c r="Y71" i="4" s="1"/>
  <c r="Z71" i="4" s="1"/>
  <c r="AA71" i="4" s="1"/>
  <c r="AB71" i="4" s="1"/>
  <c r="AC71" i="4" s="1"/>
  <c r="AD71" i="4" s="1"/>
  <c r="AE71" i="4" s="1"/>
  <c r="AF71" i="4" s="1"/>
  <c r="AG71" i="4" s="1"/>
  <c r="AH71" i="4" s="1"/>
  <c r="AI71" i="4" s="1"/>
  <c r="AJ71" i="4" s="1"/>
  <c r="AK71" i="4" s="1"/>
  <c r="AL71" i="4" s="1"/>
  <c r="AM71" i="4" s="1"/>
  <c r="T73" i="4"/>
  <c r="U73" i="4"/>
  <c r="V73" i="4" s="1"/>
  <c r="W73" i="4" s="1"/>
  <c r="X73" i="4" s="1"/>
  <c r="Y73" i="4" s="1"/>
  <c r="Z73" i="4" s="1"/>
  <c r="AA73" i="4" s="1"/>
  <c r="AB73" i="4" s="1"/>
  <c r="AC73" i="4" s="1"/>
  <c r="AD73" i="4" s="1"/>
  <c r="AE73" i="4" s="1"/>
  <c r="AF73" i="4" s="1"/>
  <c r="AG73" i="4" s="1"/>
  <c r="AH73" i="4" s="1"/>
  <c r="AI73" i="4" s="1"/>
  <c r="AJ73" i="4" s="1"/>
  <c r="AK73" i="4" s="1"/>
  <c r="AL73" i="4" s="1"/>
  <c r="AM73" i="4" s="1"/>
  <c r="AN73" i="4" s="1"/>
  <c r="P76" i="4"/>
  <c r="P79" i="4" s="1"/>
  <c r="Q79" i="4" s="1"/>
  <c r="R79" i="4" s="1"/>
  <c r="S79" i="4" s="1"/>
  <c r="Q74" i="4"/>
  <c r="R74" i="4" s="1"/>
  <c r="S74" i="4" s="1"/>
  <c r="Q72" i="4"/>
  <c r="R72" i="4" s="1"/>
  <c r="S72" i="4" s="1"/>
  <c r="T79" i="4" l="1"/>
  <c r="U79" i="4"/>
  <c r="V79" i="4" s="1"/>
  <c r="W79" i="4" s="1"/>
  <c r="X79" i="4" s="1"/>
  <c r="Y79" i="4" s="1"/>
  <c r="Z79" i="4" s="1"/>
  <c r="AA79" i="4" s="1"/>
  <c r="AB79" i="4" s="1"/>
  <c r="AC79" i="4" s="1"/>
  <c r="AD79" i="4" s="1"/>
  <c r="AE79" i="4" s="1"/>
  <c r="AF79" i="4" s="1"/>
  <c r="AG79" i="4" s="1"/>
  <c r="AH79" i="4" s="1"/>
  <c r="AI79" i="4" s="1"/>
  <c r="AJ79" i="4" s="1"/>
  <c r="AK79" i="4" s="1"/>
  <c r="AL79" i="4" s="1"/>
  <c r="AM79" i="4" s="1"/>
  <c r="AN79" i="4" s="1"/>
  <c r="U72" i="4"/>
  <c r="V72" i="4" s="1"/>
  <c r="W72" i="4" s="1"/>
  <c r="X72" i="4" s="1"/>
  <c r="Y72" i="4" s="1"/>
  <c r="Z72" i="4" s="1"/>
  <c r="AA72" i="4" s="1"/>
  <c r="AB72" i="4" s="1"/>
  <c r="AC72" i="4" s="1"/>
  <c r="AD72" i="4" s="1"/>
  <c r="AE72" i="4" s="1"/>
  <c r="AF72" i="4" s="1"/>
  <c r="T72" i="4"/>
  <c r="U74" i="4"/>
  <c r="V74" i="4" s="1"/>
  <c r="W74" i="4" s="1"/>
  <c r="X74" i="4" s="1"/>
  <c r="Y74" i="4" s="1"/>
  <c r="Z74" i="4" s="1"/>
  <c r="AA74" i="4" s="1"/>
  <c r="AB74" i="4" s="1"/>
  <c r="AC74" i="4" s="1"/>
  <c r="AD74" i="4" s="1"/>
  <c r="AE74" i="4" s="1"/>
  <c r="AF74" i="4" s="1"/>
  <c r="AG74" i="4" s="1"/>
  <c r="AH74" i="4" s="1"/>
  <c r="AI74" i="4" s="1"/>
  <c r="AJ74" i="4" s="1"/>
  <c r="AK74" i="4" s="1"/>
  <c r="AL74" i="4" s="1"/>
  <c r="AM74" i="4" s="1"/>
  <c r="T74" i="4"/>
  <c r="Q77" i="4"/>
  <c r="R77" i="4" s="1"/>
  <c r="S77" i="4" s="1"/>
  <c r="Q76" i="4"/>
  <c r="R76" i="4" s="1"/>
  <c r="S76" i="4" s="1"/>
  <c r="Q75" i="4"/>
  <c r="R75" i="4" s="1"/>
  <c r="S75" i="4" s="1"/>
  <c r="T75" i="4" l="1"/>
  <c r="U75" i="4"/>
  <c r="V75" i="4" s="1"/>
  <c r="W75" i="4" s="1"/>
  <c r="X75" i="4" s="1"/>
  <c r="Y75" i="4" s="1"/>
  <c r="Z75" i="4" s="1"/>
  <c r="AA75" i="4" s="1"/>
  <c r="AB75" i="4" s="1"/>
  <c r="AC75" i="4" s="1"/>
  <c r="AD75" i="4" s="1"/>
  <c r="AE75" i="4" s="1"/>
  <c r="AF75" i="4" s="1"/>
  <c r="T76" i="4"/>
  <c r="U76" i="4"/>
  <c r="V76" i="4" s="1"/>
  <c r="W76" i="4" s="1"/>
  <c r="X76" i="4" s="1"/>
  <c r="Y76" i="4" s="1"/>
  <c r="Z76" i="4" s="1"/>
  <c r="AA76" i="4" s="1"/>
  <c r="AB76" i="4" s="1"/>
  <c r="AC76" i="4" s="1"/>
  <c r="AD76" i="4" s="1"/>
  <c r="AE76" i="4" s="1"/>
  <c r="AF76" i="4" s="1"/>
  <c r="AG76" i="4" s="1"/>
  <c r="AH76" i="4" s="1"/>
  <c r="AI76" i="4" s="1"/>
  <c r="AJ76" i="4" s="1"/>
  <c r="AK76" i="4" s="1"/>
  <c r="AL76" i="4" s="1"/>
  <c r="AM76" i="4" s="1"/>
  <c r="AN76" i="4" s="1"/>
  <c r="U77" i="4"/>
  <c r="V77" i="4" s="1"/>
  <c r="W77" i="4" s="1"/>
  <c r="X77" i="4" s="1"/>
  <c r="Y77" i="4" s="1"/>
  <c r="Z77" i="4" s="1"/>
  <c r="AA77" i="4" s="1"/>
  <c r="AB77" i="4" s="1"/>
  <c r="AC77" i="4" s="1"/>
  <c r="AD77" i="4" s="1"/>
  <c r="AE77" i="4" s="1"/>
  <c r="AF77" i="4" s="1"/>
  <c r="AG77" i="4" s="1"/>
  <c r="AH77" i="4" s="1"/>
  <c r="AI77" i="4" s="1"/>
  <c r="AJ77" i="4" s="1"/>
  <c r="AK77" i="4" s="1"/>
  <c r="AL77" i="4" s="1"/>
  <c r="AM77" i="4" s="1"/>
  <c r="T77" i="4"/>
  <c r="H134" i="4" l="1"/>
  <c r="H98" i="4"/>
  <c r="H125" i="4"/>
  <c r="H117" i="4"/>
  <c r="H109" i="4"/>
  <c r="H101" i="4"/>
  <c r="H89" i="4"/>
  <c r="H124" i="4"/>
  <c r="H112" i="4"/>
  <c r="H104" i="4"/>
  <c r="H92" i="4"/>
  <c r="H133" i="4"/>
  <c r="H100" i="4"/>
  <c r="H132" i="4"/>
  <c r="H108" i="4"/>
  <c r="H88" i="4"/>
  <c r="H131" i="4"/>
  <c r="H127" i="4"/>
  <c r="H123" i="4"/>
  <c r="H119" i="4"/>
  <c r="H115" i="4"/>
  <c r="H111" i="4"/>
  <c r="H107" i="4"/>
  <c r="H103" i="4"/>
  <c r="H99" i="4"/>
  <c r="H95" i="4"/>
  <c r="H91" i="4"/>
  <c r="H87" i="4"/>
  <c r="H130" i="4"/>
  <c r="H126" i="4"/>
  <c r="H122" i="4"/>
  <c r="H118" i="4"/>
  <c r="H114" i="4"/>
  <c r="H110" i="4"/>
  <c r="H106" i="4"/>
  <c r="H102" i="4"/>
  <c r="H94" i="4"/>
  <c r="H90" i="4"/>
  <c r="H129" i="4"/>
  <c r="H121" i="4"/>
  <c r="H113" i="4"/>
  <c r="H105" i="4"/>
  <c r="H97" i="4"/>
  <c r="H93" i="4"/>
  <c r="H128" i="4"/>
  <c r="H120" i="4"/>
  <c r="H116" i="4"/>
  <c r="H96" i="4"/>
  <c r="H135" i="4"/>
  <c r="AR85" i="4"/>
  <c r="AR89" i="4"/>
  <c r="AR93" i="4"/>
  <c r="AR97" i="4"/>
  <c r="AR101" i="4"/>
  <c r="AR105" i="4"/>
  <c r="AR109" i="4"/>
  <c r="AR113" i="4"/>
  <c r="AR117" i="4"/>
  <c r="AR121" i="4"/>
  <c r="AR129" i="4"/>
  <c r="AR92" i="4"/>
  <c r="AR116" i="4"/>
  <c r="AR128" i="4"/>
  <c r="AR86" i="4"/>
  <c r="AR90" i="4"/>
  <c r="AR94" i="4"/>
  <c r="AR98" i="4"/>
  <c r="AR106" i="4"/>
  <c r="AR110" i="4"/>
  <c r="AR114" i="4"/>
  <c r="AR118" i="4"/>
  <c r="AR122" i="4"/>
  <c r="AR126" i="4"/>
  <c r="AR130" i="4"/>
  <c r="AR96" i="4"/>
  <c r="AR112" i="4"/>
  <c r="AR124" i="4"/>
  <c r="AR87" i="4"/>
  <c r="AR91" i="4"/>
  <c r="AR95" i="4"/>
  <c r="AR99" i="4"/>
  <c r="AR103" i="4"/>
  <c r="AR111" i="4"/>
  <c r="AR115" i="4"/>
  <c r="AR119" i="4"/>
  <c r="AR88" i="4"/>
  <c r="AR108" i="4"/>
  <c r="AR120" i="4"/>
  <c r="AR84" i="4"/>
  <c r="G19" i="4"/>
  <c r="G52" i="4"/>
  <c r="G17" i="4"/>
  <c r="G63" i="4"/>
  <c r="G24" i="4"/>
  <c r="G25" i="4"/>
  <c r="G27" i="4"/>
  <c r="G38" i="4"/>
  <c r="G32" i="4"/>
  <c r="G61" i="4"/>
  <c r="G48" i="4"/>
  <c r="G22" i="4"/>
  <c r="G64" i="4"/>
  <c r="G60" i="4"/>
  <c r="G11" i="4"/>
  <c r="G65" i="4"/>
  <c r="G59" i="4" l="1"/>
  <c r="G67" i="4"/>
  <c r="G55" i="4"/>
  <c r="G56" i="4"/>
  <c r="G43" i="4"/>
  <c r="G66" i="4"/>
  <c r="G50" i="4"/>
  <c r="G62" i="4"/>
  <c r="G44" i="4"/>
  <c r="G46" i="4"/>
  <c r="G58" i="4"/>
  <c r="J34" i="4"/>
  <c r="G57" i="4"/>
  <c r="G53" i="4"/>
  <c r="G54" i="4"/>
  <c r="G49" i="4"/>
  <c r="K35" i="4"/>
  <c r="G41" i="4"/>
  <c r="G51" i="4"/>
  <c r="G42" i="4"/>
  <c r="G39" i="4"/>
  <c r="G45" i="4"/>
  <c r="G37" i="4"/>
  <c r="K36" i="4"/>
  <c r="G40" i="4"/>
  <c r="I33" i="4"/>
  <c r="G13" i="4"/>
  <c r="K7" i="4"/>
  <c r="G16" i="4"/>
  <c r="G14" i="4"/>
  <c r="G26" i="4"/>
  <c r="G10" i="4"/>
  <c r="G20" i="4"/>
  <c r="G15" i="4"/>
  <c r="G4" i="4"/>
  <c r="I5" i="4"/>
  <c r="G12" i="4"/>
  <c r="Q36" i="4"/>
  <c r="R36" i="4" s="1"/>
  <c r="S36" i="4" s="1"/>
  <c r="T36" i="4" l="1"/>
  <c r="U36" i="4"/>
  <c r="V36" i="4" s="1"/>
  <c r="W36" i="4" s="1"/>
  <c r="X36" i="4" s="1"/>
  <c r="Y36" i="4" s="1"/>
  <c r="Z36" i="4" s="1"/>
  <c r="AA36" i="4" s="1"/>
  <c r="AB36" i="4" s="1"/>
  <c r="AC36" i="4" s="1"/>
  <c r="AD36" i="4" s="1"/>
  <c r="AE36" i="4" s="1"/>
  <c r="AF36" i="4" s="1"/>
  <c r="AG36" i="4" s="1"/>
  <c r="AH36" i="4" s="1"/>
  <c r="AI36" i="4" s="1"/>
  <c r="AJ36" i="4" s="1"/>
  <c r="AK36" i="4" s="1"/>
  <c r="AL36" i="4" s="1"/>
  <c r="AM36" i="4" s="1"/>
  <c r="Q52" i="4"/>
  <c r="R52" i="4" s="1"/>
  <c r="S52" i="4" s="1"/>
  <c r="T52" i="4" l="1"/>
  <c r="U52" i="4"/>
  <c r="V52" i="4" s="1"/>
  <c r="W52" i="4" s="1"/>
  <c r="X52" i="4" s="1"/>
  <c r="Y52" i="4" s="1"/>
  <c r="Z52" i="4" s="1"/>
  <c r="AA52" i="4" s="1"/>
  <c r="AB52" i="4" s="1"/>
  <c r="AC52" i="4" s="1"/>
  <c r="AD52" i="4" s="1"/>
  <c r="AE52" i="4" s="1"/>
  <c r="AF52" i="4" s="1"/>
  <c r="AG52" i="4" s="1"/>
  <c r="AH52" i="4" s="1"/>
  <c r="AI52" i="4" s="1"/>
  <c r="AJ52" i="4" s="1"/>
  <c r="AK52" i="4" s="1"/>
  <c r="AL52" i="4" s="1"/>
  <c r="AM52" i="4" s="1"/>
  <c r="Q101" i="4"/>
  <c r="R101" i="4" s="1"/>
  <c r="S101" i="4" s="1"/>
  <c r="T101" i="4" s="1"/>
  <c r="U101" i="4" s="1"/>
  <c r="V101" i="4" s="1"/>
  <c r="W101" i="4" s="1"/>
  <c r="X101" i="4" s="1"/>
  <c r="Y101" i="4" s="1"/>
  <c r="Z101" i="4" s="1"/>
  <c r="AA101" i="4" s="1"/>
  <c r="AB101" i="4" s="1"/>
  <c r="AC101" i="4" s="1"/>
  <c r="AD101" i="4" s="1"/>
  <c r="AE101" i="4" s="1"/>
  <c r="AF101" i="4" s="1"/>
  <c r="AG101" i="4" s="1"/>
  <c r="AH101" i="4" s="1"/>
  <c r="AI101" i="4" s="1"/>
  <c r="AJ101" i="4" s="1"/>
  <c r="AK101" i="4" s="1"/>
  <c r="AL101" i="4" s="1"/>
  <c r="AM101" i="4" s="1"/>
  <c r="AN101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P8" authorId="0" shapeId="0" xr:uid="{A0F8AAE4-1D95-4A47-9865-63DEE59C0282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OKJT</t>
        </r>
      </text>
    </comment>
    <comment ref="AQ8" authorId="0" shapeId="0" xr:uid="{9A410A59-29A4-4738-B0DF-B1AC1FCB5BC6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OKJT</t>
        </r>
      </text>
    </comment>
    <comment ref="AP12" authorId="0" shapeId="0" xr:uid="{1AB3D149-C471-404B-8CB5-C8C4860A2845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4</t>
        </r>
      </text>
    </comment>
    <comment ref="AQ12" authorId="0" shapeId="0" xr:uid="{3E421EB1-B742-4078-B495-56EC3F23ED3F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4</t>
        </r>
      </text>
    </comment>
    <comment ref="AP13" authorId="0" shapeId="0" xr:uid="{74B7EA23-BFE9-4CCA-B2C9-0D043590F92D}">
      <text>
        <r>
          <rPr>
            <sz val="9"/>
            <color indexed="81"/>
            <rFont val="Tahoma"/>
            <family val="2"/>
          </rPr>
          <t>Conserva cambio con Capó</t>
        </r>
      </text>
    </comment>
    <comment ref="AQ13" authorId="0" shapeId="0" xr:uid="{8E4E261C-F9D3-4440-B27B-681695F11624}">
      <text>
        <r>
          <rPr>
            <sz val="9"/>
            <color indexed="81"/>
            <rFont val="Tahoma"/>
            <family val="2"/>
          </rPr>
          <t>Conserva cambio con Capó</t>
        </r>
      </text>
    </comment>
    <comment ref="AP14" authorId="0" shapeId="0" xr:uid="{46FA527B-150D-42B1-8876-F7E63449A00E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7</t>
        </r>
      </text>
    </comment>
    <comment ref="AQ14" authorId="0" shapeId="0" xr:uid="{349EF3B1-470A-451A-A969-787396D485E7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7</t>
        </r>
      </text>
    </comment>
    <comment ref="AP15" authorId="0" shapeId="0" xr:uid="{BC7ED0E7-4C5A-42CA-8A52-1DDF6B416B1A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13</t>
        </r>
      </text>
    </comment>
    <comment ref="AQ15" authorId="0" shapeId="0" xr:uid="{57076D24-22D1-4157-9EE3-07474BFA6D53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13</t>
        </r>
      </text>
    </comment>
    <comment ref="AP29" authorId="0" shapeId="0" xr:uid="{04DFBDFF-B2DB-463A-8350-B8066DBA0F01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36</t>
        </r>
      </text>
    </comment>
    <comment ref="AQ29" authorId="0" shapeId="0" xr:uid="{A9D7FF3F-03CE-45D3-8AD1-168BE5177883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36</t>
        </r>
      </text>
    </comment>
    <comment ref="AP31" authorId="0" shapeId="0" xr:uid="{F4BD15C5-4F7D-43E9-A8E6-5E0677D1FA47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</t>
        </r>
      </text>
    </comment>
    <comment ref="AQ31" authorId="0" shapeId="0" xr:uid="{BF7219BE-99C1-4648-85A9-ED55E4BDA26A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10</t>
        </r>
      </text>
    </comment>
    <comment ref="AP39" authorId="0" shapeId="0" xr:uid="{1EC9F164-6A82-4EAE-9BE3-C8E16F1C0AF8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33</t>
        </r>
      </text>
    </comment>
    <comment ref="AQ39" authorId="0" shapeId="0" xr:uid="{DFDB13ED-6821-4575-AFBF-DCDFEE9F7F09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33</t>
        </r>
      </text>
    </comment>
    <comment ref="AP44" authorId="0" shapeId="0" xr:uid="{E377F68D-A0ED-4E8B-8DD7-0883457D7429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OKJT</t>
        </r>
      </text>
    </comment>
    <comment ref="AQ44" authorId="0" shapeId="0" xr:uid="{453880E2-06CA-4BF3-902F-5691AF35D028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OKJT</t>
        </r>
      </text>
    </comment>
    <comment ref="AP54" authorId="0" shapeId="0" xr:uid="{E79613E7-E9AC-4AFC-9726-07C368F767D6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OKJT</t>
        </r>
      </text>
    </comment>
    <comment ref="AQ54" authorId="0" shapeId="0" xr:uid="{A8EA05A7-98B5-4B62-A27B-C8297C8E5992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OKJT</t>
        </r>
      </text>
    </comment>
    <comment ref="AP62" authorId="0" shapeId="0" xr:uid="{FB3358A5-24A1-47B1-BE09-E382B2808D3D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156</t>
        </r>
      </text>
    </comment>
    <comment ref="AQ62" authorId="0" shapeId="0" xr:uid="{422C35DF-D0BD-47E8-BCD0-5A9DDD9C93A2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156</t>
        </r>
      </text>
    </comment>
    <comment ref="AP68" authorId="0" shapeId="0" xr:uid="{CD2BD838-AEBE-412F-A0CF-7B9527EC8A34}">
      <text>
        <r>
          <rPr>
            <sz val="9"/>
            <color indexed="81"/>
            <rFont val="Tahoma"/>
            <family val="2"/>
          </rPr>
          <t>Pelayo</t>
        </r>
      </text>
    </comment>
    <comment ref="AQ68" authorId="0" shapeId="0" xr:uid="{D9E2F097-575E-4647-B382-E4F847FEF409}">
      <text>
        <r>
          <rPr>
            <sz val="9"/>
            <color indexed="81"/>
            <rFont val="Tahoma"/>
            <family val="2"/>
          </rPr>
          <t>Pelayo</t>
        </r>
      </text>
    </comment>
    <comment ref="AP69" authorId="0" shapeId="0" xr:uid="{C1A39E2F-0F42-44EE-8E8B-D1690F7D81EC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Toni Cruz</t>
        </r>
      </text>
    </comment>
    <comment ref="AQ69" authorId="0" shapeId="0" xr:uid="{0E6295B6-8186-4DC2-AC3C-6602AB048A7F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Toni Cruz</t>
        </r>
      </text>
    </comment>
  </commentList>
</comments>
</file>

<file path=xl/sharedStrings.xml><?xml version="1.0" encoding="utf-8"?>
<sst xmlns="http://schemas.openxmlformats.org/spreadsheetml/2006/main" count="309" uniqueCount="204">
  <si>
    <t>D</t>
  </si>
  <si>
    <t xml:space="preserve">Buendía  </t>
  </si>
  <si>
    <t>Ferriol</t>
  </si>
  <si>
    <t>Rigo</t>
  </si>
  <si>
    <t>Pepi</t>
  </si>
  <si>
    <t>Capó</t>
  </si>
  <si>
    <t>Briz</t>
  </si>
  <si>
    <t>Sánchez</t>
  </si>
  <si>
    <t>Kiko</t>
  </si>
  <si>
    <t>Benestar</t>
  </si>
  <si>
    <t>MARRATXI</t>
  </si>
  <si>
    <t>BINISALEM</t>
  </si>
  <si>
    <t>LLOSETA</t>
  </si>
  <si>
    <t>MURO</t>
  </si>
  <si>
    <t>SA POBLA</t>
  </si>
  <si>
    <t>SINEU</t>
  </si>
  <si>
    <t>PETRA</t>
  </si>
  <si>
    <t>MANACOR</t>
  </si>
  <si>
    <t>SON RULLÁN</t>
  </si>
  <si>
    <t>Mat.</t>
  </si>
  <si>
    <t>SON COSTA SON FORTESA</t>
  </si>
  <si>
    <t>SON FUSTER</t>
  </si>
  <si>
    <t>VERGE DE LLUC</t>
  </si>
  <si>
    <t>PONT D'INCA</t>
  </si>
  <si>
    <t>PONT D'INCA NOU</t>
  </si>
  <si>
    <t>POLIGON DE MARRATXÍ</t>
  </si>
  <si>
    <t>FESTIVAL PARK</t>
  </si>
  <si>
    <t>SANTA MARÍA</t>
  </si>
  <si>
    <t>ALARÓ CONSEL</t>
  </si>
  <si>
    <t>INCA LLEGADA</t>
  </si>
  <si>
    <t>INCA SALIDA</t>
  </si>
  <si>
    <t>S'ENLLAÇ LLEGADA</t>
  </si>
  <si>
    <t>S'ENLLAÇ SALIDA</t>
  </si>
  <si>
    <t>81/3</t>
  </si>
  <si>
    <t>81/4</t>
  </si>
  <si>
    <t>Tren Nº</t>
  </si>
  <si>
    <t>HOSP D'INCA</t>
  </si>
  <si>
    <t>Jaime Sastre</t>
  </si>
  <si>
    <t>Iniesta</t>
  </si>
  <si>
    <t>Miki</t>
  </si>
  <si>
    <t>Calafat</t>
  </si>
  <si>
    <t>Biel</t>
  </si>
  <si>
    <t xml:space="preserve">Olmo </t>
  </si>
  <si>
    <t xml:space="preserve">Martos </t>
  </si>
  <si>
    <t xml:space="preserve">Cati </t>
  </si>
  <si>
    <t>Alfredo</t>
  </si>
  <si>
    <t xml:space="preserve">Olga </t>
  </si>
  <si>
    <t xml:space="preserve">Eugenio </t>
  </si>
  <si>
    <t>Asun</t>
  </si>
  <si>
    <t>Manu</t>
  </si>
  <si>
    <t xml:space="preserve">Alberto </t>
  </si>
  <si>
    <t xml:space="preserve">Lucio </t>
  </si>
  <si>
    <t>Atero</t>
  </si>
  <si>
    <t>Florit</t>
  </si>
  <si>
    <t>Yolanda</t>
  </si>
  <si>
    <t>Troskis</t>
  </si>
  <si>
    <t>Toni Bosch</t>
  </si>
  <si>
    <t>Bermejo</t>
  </si>
  <si>
    <t>Lorena</t>
  </si>
  <si>
    <t>Martín</t>
  </si>
  <si>
    <t>Cristina</t>
  </si>
  <si>
    <t>Pere Garcías</t>
  </si>
  <si>
    <t>Tomeu Juan</t>
  </si>
  <si>
    <t>Oscar</t>
  </si>
  <si>
    <t>Felipe</t>
  </si>
  <si>
    <t>Ruben</t>
  </si>
  <si>
    <t>Juan Rigo</t>
  </si>
  <si>
    <t>Juanjo</t>
  </si>
  <si>
    <t>Hoyas</t>
  </si>
  <si>
    <t>M. Febrer</t>
  </si>
  <si>
    <t>Salvador</t>
  </si>
  <si>
    <t>Mika</t>
  </si>
  <si>
    <t>Tomeu Moya</t>
  </si>
  <si>
    <t xml:space="preserve">Campos </t>
  </si>
  <si>
    <t>M A Moya</t>
  </si>
  <si>
    <t>Moreno</t>
  </si>
  <si>
    <t>Gomila</t>
  </si>
  <si>
    <t>C, Garcías</t>
  </si>
  <si>
    <t>C, Jaume</t>
  </si>
  <si>
    <t>Xisca</t>
  </si>
  <si>
    <t xml:space="preserve">Luis </t>
  </si>
  <si>
    <t>Maribel</t>
  </si>
  <si>
    <t>Cubero</t>
  </si>
  <si>
    <t>Peyo</t>
  </si>
  <si>
    <t>Yolanda Diaz</t>
  </si>
  <si>
    <t>E</t>
  </si>
  <si>
    <t>LLUBÍ</t>
  </si>
  <si>
    <t>PAET</t>
  </si>
  <si>
    <t>CIRCULA DIV. I VISPERES FEST.</t>
  </si>
  <si>
    <t>Mcternan</t>
  </si>
  <si>
    <t>Ferrutja</t>
  </si>
  <si>
    <t>ESTACIÓ ÍNTERMO</t>
  </si>
  <si>
    <t>JACINT VERDAGU</t>
  </si>
  <si>
    <t>SON CLADERA</t>
  </si>
  <si>
    <t>POLIGON DE MARRAT</t>
  </si>
  <si>
    <t>BINISSAL</t>
  </si>
  <si>
    <t>HOSPITAL D'INCA</t>
  </si>
  <si>
    <t>laborables desde Noviembre 2025</t>
  </si>
  <si>
    <t>ASCENDENTES</t>
  </si>
  <si>
    <t>DESCENDENTES</t>
  </si>
  <si>
    <t xml:space="preserve">SON COSTA </t>
  </si>
  <si>
    <t>turno</t>
  </si>
  <si>
    <t>maquinista</t>
  </si>
  <si>
    <t xml:space="preserve">Mayol </t>
  </si>
  <si>
    <t>Kike</t>
  </si>
  <si>
    <t>Koala</t>
  </si>
  <si>
    <t>Deyà</t>
  </si>
  <si>
    <t>Carlos Casad</t>
  </si>
  <si>
    <t xml:space="preserve">T. Martinez </t>
  </si>
  <si>
    <t>D. Álvarez</t>
  </si>
  <si>
    <t>T. Morlá</t>
  </si>
  <si>
    <t>M. Ferrer</t>
  </si>
  <si>
    <t>Pere Estrany</t>
  </si>
  <si>
    <t>Juan Jaume</t>
  </si>
  <si>
    <t>Miguel Bosch</t>
  </si>
  <si>
    <t>Canovas</t>
  </si>
  <si>
    <t>ESTACIÓN INTERMODAL - PARC BIT</t>
  </si>
  <si>
    <t>TURNOS</t>
  </si>
  <si>
    <t>5(1,15)</t>
  </si>
  <si>
    <t>DEPOSITOS DE MAÑANA</t>
  </si>
  <si>
    <t>151(1,00)</t>
  </si>
  <si>
    <t>1(1,41)</t>
  </si>
  <si>
    <t>2(0,35)</t>
  </si>
  <si>
    <t>4(1,05)</t>
  </si>
  <si>
    <t>7(1,05)</t>
  </si>
  <si>
    <t>3(1,25)</t>
  </si>
  <si>
    <t>151(1,01)</t>
  </si>
  <si>
    <t>152(3,22.)</t>
  </si>
  <si>
    <t>154(1,15)</t>
  </si>
  <si>
    <t>201(1'45)</t>
  </si>
  <si>
    <t>10'15</t>
  </si>
  <si>
    <t>2(1,37)</t>
  </si>
  <si>
    <t>33(1,07)</t>
  </si>
  <si>
    <t>3(1,05)</t>
  </si>
  <si>
    <t>32(1,55)</t>
  </si>
  <si>
    <t>4(1,15)</t>
  </si>
  <si>
    <t>31(1,42)</t>
  </si>
  <si>
    <t>5(0'55)</t>
  </si>
  <si>
    <t>153(1,55)</t>
  </si>
  <si>
    <t>7(1,25)</t>
  </si>
  <si>
    <t>151(1,32)</t>
  </si>
  <si>
    <t>SI</t>
  </si>
  <si>
    <t>4521 DE LAS 10'45 LO HACE T152 Y 4920 LO HACE T18</t>
  </si>
  <si>
    <t>DEPOSITOS DE TARDE</t>
  </si>
  <si>
    <t>18(1,47)</t>
  </si>
  <si>
    <t>15(0.45)</t>
  </si>
  <si>
    <t>16(0,50)</t>
  </si>
  <si>
    <t>35(0,25)</t>
  </si>
  <si>
    <t>155(1,05)</t>
  </si>
  <si>
    <t>14(0,35)</t>
  </si>
  <si>
    <t>36(0,25)</t>
  </si>
  <si>
    <t>156(0,25)</t>
  </si>
  <si>
    <t>35(0,35)</t>
  </si>
  <si>
    <t>102(0,45)</t>
  </si>
  <si>
    <t>12(0,45)</t>
  </si>
  <si>
    <t>156(1,00)</t>
  </si>
  <si>
    <t>34(1,40)</t>
  </si>
  <si>
    <t>35(1,40)</t>
  </si>
  <si>
    <t>157(0,55)</t>
  </si>
  <si>
    <t>102(1,20)</t>
  </si>
  <si>
    <t>36(0,40)</t>
  </si>
  <si>
    <t>14(1,40)</t>
  </si>
  <si>
    <t>SI PBIT 21'15 T.11</t>
  </si>
  <si>
    <t>19(2,00)</t>
  </si>
  <si>
    <t>11(2,15)</t>
  </si>
  <si>
    <t>17(1,45)</t>
  </si>
  <si>
    <t>16(0,45)</t>
  </si>
  <si>
    <t>156(1,05)</t>
  </si>
  <si>
    <t>34(1,00)</t>
  </si>
  <si>
    <t>155(1,15)</t>
  </si>
  <si>
    <t>202(1,00)</t>
  </si>
  <si>
    <t>157(0,40)</t>
  </si>
  <si>
    <t>12(1,00)</t>
  </si>
  <si>
    <t>13(1,15)</t>
  </si>
  <si>
    <t>102(1,05)</t>
  </si>
  <si>
    <t>17(0,25)</t>
  </si>
  <si>
    <t>EN INCA</t>
  </si>
  <si>
    <t>P-SP</t>
  </si>
  <si>
    <t>SI FALLA ALGUN TURNO</t>
  </si>
  <si>
    <t>VIERNES</t>
  </si>
  <si>
    <t>PBIT 17'55 T.102 Y PBIT 19'35 T.35</t>
  </si>
  <si>
    <t>Jaime Tanco</t>
  </si>
  <si>
    <t>V</t>
  </si>
  <si>
    <t>N</t>
  </si>
  <si>
    <t>q</t>
  </si>
  <si>
    <t>e</t>
  </si>
  <si>
    <t>TD32</t>
  </si>
  <si>
    <t>20/8,,</t>
  </si>
  <si>
    <t>7/AU</t>
  </si>
  <si>
    <t>154/6</t>
  </si>
  <si>
    <t>5/E</t>
  </si>
  <si>
    <t>155/DD</t>
  </si>
  <si>
    <t>32/VA</t>
  </si>
  <si>
    <t>8/L31</t>
  </si>
  <si>
    <t>21/7,,</t>
  </si>
  <si>
    <t>14/E</t>
  </si>
  <si>
    <t>TD157</t>
  </si>
  <si>
    <t>x/153</t>
  </si>
  <si>
    <t>22/LAP</t>
  </si>
  <si>
    <t>TD155</t>
  </si>
  <si>
    <t>157/LEF</t>
  </si>
  <si>
    <t>153/ 34</t>
  </si>
  <si>
    <t>34/lcs</t>
  </si>
  <si>
    <t>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</si>
</sst>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h:mm;@"/>
    <numFmt numFmtId="165" formatCode="[$-F400]h:mm:ss\ AM/PM"/>
  </numFmts>
  <fonts count="6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8"/>
      <color theme="1"/>
      <name val="Calibri"/>
      <family val="2"/>
      <scheme val="minor"/>
    </font>
    <font>
      <sz val="18"/>
      <name val="Arial"/>
      <family val="2"/>
    </font>
    <font>
      <sz val="16"/>
      <name val="Arial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  <charset val="1"/>
    </font>
    <font>
      <sz val="10"/>
      <color rgb="FF000000"/>
      <name val="Arial"/>
      <family val="2"/>
    </font>
    <font>
      <sz val="14"/>
      <name val="Arial"/>
      <family val="2"/>
    </font>
    <font>
      <sz val="24"/>
      <name val="Arial"/>
      <family val="2"/>
    </font>
    <font>
      <sz val="20"/>
      <name val="Arial"/>
      <family val="2"/>
    </font>
    <font>
      <sz val="14"/>
      <color theme="1"/>
      <name val="Calibri"/>
      <family val="2"/>
      <scheme val="minor"/>
    </font>
    <font>
      <sz val="16"/>
      <color indexed="8"/>
      <name val="Arial"/>
      <family val="2"/>
    </font>
    <font>
      <sz val="16"/>
      <color rgb="FFFF0000"/>
      <name val="Arial"/>
      <family val="2"/>
    </font>
    <font>
      <sz val="16"/>
      <color indexed="10"/>
      <name val="Arial"/>
      <family val="2"/>
    </font>
    <font>
      <sz val="16"/>
      <name val="Calibri"/>
      <family val="2"/>
      <scheme val="minor"/>
    </font>
    <font>
      <sz val="11"/>
      <name val="Arial"/>
      <family val="2"/>
    </font>
    <font>
      <sz val="24"/>
      <color theme="1"/>
      <name val="Calibri"/>
      <family val="2"/>
      <scheme val="minor"/>
    </font>
    <font>
      <sz val="18"/>
      <name val="Calibri"/>
      <family val="2"/>
      <scheme val="minor"/>
    </font>
    <font>
      <sz val="12"/>
      <name val="Arial"/>
      <family val="2"/>
    </font>
    <font>
      <sz val="22"/>
      <color theme="1"/>
      <name val="Calibri"/>
      <family val="2"/>
      <scheme val="minor"/>
    </font>
    <font>
      <sz val="12"/>
      <color indexed="8"/>
      <name val="Arial"/>
      <family val="2"/>
    </font>
    <font>
      <sz val="12"/>
      <color indexed="12"/>
      <name val="Arial"/>
      <family val="2"/>
    </font>
    <font>
      <sz val="12"/>
      <color theme="1"/>
      <name val="Arial"/>
      <family val="2"/>
    </font>
    <font>
      <b/>
      <sz val="24"/>
      <name val="Arial"/>
      <family val="2"/>
    </font>
    <font>
      <b/>
      <sz val="36"/>
      <name val="Arial"/>
      <family val="2"/>
    </font>
    <font>
      <sz val="28"/>
      <name val="Arial"/>
      <family val="2"/>
    </font>
    <font>
      <b/>
      <sz val="2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0"/>
      <name val="Arial"/>
      <family val="2"/>
    </font>
    <font>
      <sz val="36"/>
      <color theme="1"/>
      <name val="Arial"/>
      <family val="2"/>
    </font>
    <font>
      <sz val="16"/>
      <color rgb="FFFF0000"/>
      <name val="Calibri"/>
      <family val="2"/>
      <scheme val="minor"/>
    </font>
    <font>
      <b/>
      <sz val="16"/>
      <color rgb="FFFF0000"/>
      <name val="Arial"/>
      <family val="2"/>
    </font>
    <font>
      <sz val="36"/>
      <name val="Arial"/>
      <family val="2"/>
    </font>
    <font>
      <sz val="26"/>
      <name val="Arial"/>
      <family val="2"/>
    </font>
    <font>
      <sz val="26"/>
      <color theme="1"/>
      <name val="Calibri"/>
      <family val="2"/>
      <scheme val="minor"/>
    </font>
    <font>
      <sz val="26"/>
      <color rgb="FFFF0000"/>
      <name val="Arial"/>
      <family val="2"/>
    </font>
    <font>
      <sz val="26"/>
      <color indexed="10"/>
      <name val="Arial"/>
      <family val="2"/>
    </font>
    <font>
      <sz val="20"/>
      <color rgb="FFFF0000"/>
      <name val="Arial"/>
      <family val="2"/>
    </font>
    <font>
      <sz val="20"/>
      <color theme="1"/>
      <name val="Arial"/>
      <family val="2"/>
    </font>
    <font>
      <sz val="22"/>
      <name val="Arial"/>
      <family val="2"/>
    </font>
    <font>
      <sz val="22"/>
      <name val="Calibri"/>
      <family val="2"/>
      <scheme val="minor"/>
    </font>
    <font>
      <sz val="22"/>
      <color rgb="FFFF0000"/>
      <name val="Calibri"/>
      <family val="2"/>
      <scheme val="minor"/>
    </font>
    <font>
      <sz val="22"/>
      <color theme="1"/>
      <name val="Calibri"/>
      <family val="2"/>
    </font>
    <font>
      <sz val="20"/>
      <color indexed="12"/>
      <name val="Arial"/>
      <family val="2"/>
    </font>
    <font>
      <b/>
      <sz val="26"/>
      <name val="Arial"/>
      <family val="2"/>
    </font>
    <font>
      <u/>
      <sz val="26"/>
      <name val="Arial"/>
      <family val="2"/>
    </font>
    <font>
      <b/>
      <sz val="26"/>
      <color theme="1"/>
      <name val="Calibri"/>
      <family val="2"/>
      <scheme val="minor"/>
    </font>
    <font>
      <sz val="25"/>
      <name val="Arial"/>
      <family val="2"/>
    </font>
    <font>
      <sz val="22"/>
      <color theme="0"/>
      <name val="Calibri"/>
      <family val="2"/>
      <scheme val="minor"/>
    </font>
    <font>
      <sz val="24"/>
      <name val="Calibri"/>
      <family val="2"/>
      <scheme val="minor"/>
    </font>
    <font>
      <sz val="24"/>
      <color theme="1"/>
      <name val="Calibri"/>
      <family val="2"/>
    </font>
    <font>
      <sz val="24"/>
      <color theme="0"/>
      <name val="Calibri"/>
      <family val="2"/>
      <scheme val="minor"/>
    </font>
    <font>
      <sz val="22"/>
      <color rgb="FF00B05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49998474074526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614">
    <xf numFmtId="0" fontId="0" fillId="0" borderId="0"/>
    <xf numFmtId="0" fontId="2" fillId="0" borderId="0"/>
    <xf numFmtId="0" fontId="1" fillId="0" borderId="0"/>
    <xf numFmtId="0" fontId="10" fillId="0" borderId="0"/>
    <xf numFmtId="0" fontId="11" fillId="6" borderId="0" applyNumberFormat="0" applyBorder="0" applyAlignment="0" applyProtection="0"/>
    <xf numFmtId="0" fontId="2" fillId="0" borderId="0"/>
    <xf numFmtId="0" fontId="2" fillId="0" borderId="0"/>
    <xf numFmtId="0" fontId="10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3" fillId="0" borderId="0"/>
    <xf numFmtId="9" fontId="3" fillId="0" borderId="0"/>
    <xf numFmtId="0" fontId="3" fillId="0" borderId="0"/>
    <xf numFmtId="0" fontId="12" fillId="0" borderId="0"/>
    <xf numFmtId="0" fontId="3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12" fillId="0" borderId="0"/>
    <xf numFmtId="0" fontId="3" fillId="0" borderId="0"/>
    <xf numFmtId="0" fontId="13" fillId="0" borderId="0"/>
    <xf numFmtId="0" fontId="3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" fillId="0" borderId="0"/>
    <xf numFmtId="0" fontId="10" fillId="0" borderId="0"/>
    <xf numFmtId="0" fontId="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164" fontId="10" fillId="0" borderId="0"/>
    <xf numFmtId="165" fontId="10" fillId="0" borderId="0"/>
    <xf numFmtId="165" fontId="2" fillId="0" borderId="0"/>
    <xf numFmtId="165" fontId="10" fillId="0" borderId="0"/>
    <xf numFmtId="165" fontId="1" fillId="0" borderId="0"/>
    <xf numFmtId="165" fontId="11" fillId="6" borderId="0" applyNumberFormat="0" applyBorder="0" applyAlignment="0" applyProtection="0"/>
    <xf numFmtId="165" fontId="2" fillId="0" borderId="0"/>
    <xf numFmtId="165" fontId="2" fillId="0" borderId="0"/>
    <xf numFmtId="165" fontId="10" fillId="0" borderId="0"/>
    <xf numFmtId="165" fontId="10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3" fillId="0" borderId="0"/>
    <xf numFmtId="165" fontId="1" fillId="0" borderId="0"/>
    <xf numFmtId="165" fontId="1" fillId="0" borderId="0"/>
    <xf numFmtId="165" fontId="1" fillId="0" borderId="0"/>
    <xf numFmtId="165" fontId="12" fillId="0" borderId="0"/>
    <xf numFmtId="165" fontId="13" fillId="0" borderId="0"/>
    <xf numFmtId="165" fontId="10" fillId="0" borderId="0"/>
    <xf numFmtId="165" fontId="3" fillId="0" borderId="0"/>
    <xf numFmtId="165" fontId="12" fillId="0" borderId="0"/>
    <xf numFmtId="165" fontId="3" fillId="0" borderId="0"/>
    <xf numFmtId="165" fontId="12" fillId="0" borderId="0"/>
    <xf numFmtId="165" fontId="13" fillId="0" borderId="0"/>
    <xf numFmtId="165" fontId="12" fillId="0" borderId="0"/>
    <xf numFmtId="165" fontId="13" fillId="0" borderId="0"/>
    <xf numFmtId="165" fontId="12" fillId="0" borderId="0"/>
    <xf numFmtId="165" fontId="3" fillId="0" borderId="0"/>
    <xf numFmtId="165" fontId="13" fillId="0" borderId="0"/>
    <xf numFmtId="165" fontId="3" fillId="0" borderId="0"/>
    <xf numFmtId="165" fontId="13" fillId="0" borderId="0"/>
    <xf numFmtId="165" fontId="2" fillId="0" borderId="0"/>
    <xf numFmtId="165" fontId="2" fillId="0" borderId="0"/>
    <xf numFmtId="165" fontId="2" fillId="0" borderId="0"/>
    <xf numFmtId="165" fontId="2" fillId="0" borderId="0"/>
    <xf numFmtId="165" fontId="2" fillId="0" borderId="0"/>
    <xf numFmtId="165" fontId="2" fillId="0" borderId="0"/>
    <xf numFmtId="165" fontId="2" fillId="0" borderId="0"/>
    <xf numFmtId="0" fontId="2" fillId="0" borderId="0"/>
    <xf numFmtId="0" fontId="10" fillId="0" borderId="0"/>
    <xf numFmtId="0" fontId="1" fillId="0" borderId="0"/>
    <xf numFmtId="0" fontId="11" fillId="6" borderId="0" applyNumberFormat="0" applyBorder="0" applyAlignment="0" applyProtection="0"/>
    <xf numFmtId="0" fontId="2" fillId="0" borderId="0"/>
    <xf numFmtId="0" fontId="2" fillId="0" borderId="0"/>
    <xf numFmtId="0" fontId="10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3" fillId="0" borderId="0"/>
    <xf numFmtId="0" fontId="3" fillId="0" borderId="0"/>
    <xf numFmtId="0" fontId="12" fillId="0" borderId="0"/>
    <xf numFmtId="0" fontId="3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12" fillId="0" borderId="0"/>
    <xf numFmtId="0" fontId="3" fillId="0" borderId="0"/>
    <xf numFmtId="0" fontId="13" fillId="0" borderId="0"/>
    <xf numFmtId="0" fontId="3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" fillId="0" borderId="0"/>
    <xf numFmtId="0" fontId="1" fillId="0" borderId="0"/>
    <xf numFmtId="0" fontId="11" fillId="6" borderId="0" applyNumberFormat="0" applyBorder="0" applyAlignment="0" applyProtection="0"/>
    <xf numFmtId="0" fontId="2" fillId="0" borderId="0"/>
    <xf numFmtId="0" fontId="2" fillId="0" borderId="0"/>
    <xf numFmtId="0" fontId="10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3" fillId="0" borderId="0"/>
    <xf numFmtId="0" fontId="3" fillId="0" borderId="0"/>
    <xf numFmtId="0" fontId="12" fillId="0" borderId="0"/>
    <xf numFmtId="0" fontId="3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12" fillId="0" borderId="0"/>
    <xf numFmtId="0" fontId="3" fillId="0" borderId="0"/>
    <xf numFmtId="0" fontId="13" fillId="0" borderId="0"/>
    <xf numFmtId="0" fontId="3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" fillId="0" borderId="0"/>
    <xf numFmtId="0" fontId="1" fillId="0" borderId="0"/>
    <xf numFmtId="0" fontId="11" fillId="6" borderId="0" applyNumberFormat="0" applyBorder="0" applyAlignment="0" applyProtection="0"/>
    <xf numFmtId="0" fontId="2" fillId="0" borderId="0"/>
    <xf numFmtId="0" fontId="2" fillId="0" borderId="0"/>
    <xf numFmtId="0" fontId="10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3" fillId="0" borderId="0"/>
    <xf numFmtId="0" fontId="3" fillId="0" borderId="0"/>
    <xf numFmtId="0" fontId="12" fillId="0" borderId="0"/>
    <xf numFmtId="0" fontId="3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12" fillId="0" borderId="0"/>
    <xf numFmtId="0" fontId="3" fillId="0" borderId="0"/>
    <xf numFmtId="0" fontId="13" fillId="0" borderId="0"/>
    <xf numFmtId="0" fontId="3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" fillId="0" borderId="0"/>
    <xf numFmtId="0" fontId="1" fillId="0" borderId="0"/>
    <xf numFmtId="0" fontId="11" fillId="6" borderId="0" applyNumberFormat="0" applyBorder="0" applyAlignment="0" applyProtection="0"/>
    <xf numFmtId="0" fontId="2" fillId="0" borderId="0"/>
    <xf numFmtId="0" fontId="2" fillId="0" borderId="0"/>
    <xf numFmtId="0" fontId="10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3" fillId="0" borderId="0"/>
    <xf numFmtId="0" fontId="3" fillId="0" borderId="0"/>
    <xf numFmtId="0" fontId="12" fillId="0" borderId="0"/>
    <xf numFmtId="0" fontId="3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12" fillId="0" borderId="0"/>
    <xf numFmtId="0" fontId="3" fillId="0" borderId="0"/>
    <xf numFmtId="0" fontId="13" fillId="0" borderId="0"/>
    <xf numFmtId="0" fontId="3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" fillId="0" borderId="0"/>
    <xf numFmtId="0" fontId="1" fillId="0" borderId="0"/>
    <xf numFmtId="0" fontId="11" fillId="6" borderId="0" applyNumberFormat="0" applyBorder="0" applyAlignment="0" applyProtection="0"/>
    <xf numFmtId="0" fontId="2" fillId="0" borderId="0"/>
    <xf numFmtId="0" fontId="2" fillId="0" borderId="0"/>
    <xf numFmtId="0" fontId="10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3" fillId="0" borderId="0"/>
    <xf numFmtId="0" fontId="3" fillId="0" borderId="0"/>
    <xf numFmtId="0" fontId="12" fillId="0" borderId="0"/>
    <xf numFmtId="0" fontId="3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12" fillId="0" borderId="0"/>
    <xf numFmtId="0" fontId="3" fillId="0" borderId="0"/>
    <xf numFmtId="0" fontId="13" fillId="0" borderId="0"/>
    <xf numFmtId="0" fontId="3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" fillId="0" borderId="0"/>
    <xf numFmtId="0" fontId="11" fillId="6" borderId="0" applyNumberFormat="0" applyBorder="0" applyAlignment="0" applyProtection="0"/>
    <xf numFmtId="0" fontId="2" fillId="0" borderId="0"/>
    <xf numFmtId="0" fontId="2" fillId="0" borderId="0"/>
    <xf numFmtId="0" fontId="10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3" fillId="0" borderId="0"/>
    <xf numFmtId="0" fontId="3" fillId="0" borderId="0"/>
    <xf numFmtId="0" fontId="12" fillId="0" borderId="0"/>
    <xf numFmtId="0" fontId="3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12" fillId="0" borderId="0"/>
    <xf numFmtId="0" fontId="3" fillId="0" borderId="0"/>
    <xf numFmtId="0" fontId="13" fillId="0" borderId="0"/>
    <xf numFmtId="0" fontId="3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" fillId="0" borderId="0"/>
    <xf numFmtId="0" fontId="2" fillId="0" borderId="0"/>
    <xf numFmtId="0" fontId="10" fillId="0" borderId="0"/>
    <xf numFmtId="0" fontId="1" fillId="0" borderId="0"/>
    <xf numFmtId="0" fontId="11" fillId="6" borderId="0" applyNumberFormat="0" applyBorder="0" applyAlignment="0" applyProtection="0"/>
    <xf numFmtId="0" fontId="2" fillId="0" borderId="0"/>
    <xf numFmtId="0" fontId="2" fillId="0" borderId="0"/>
    <xf numFmtId="0" fontId="10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3" fillId="0" borderId="0"/>
    <xf numFmtId="0" fontId="3" fillId="0" borderId="0"/>
    <xf numFmtId="0" fontId="12" fillId="0" borderId="0"/>
    <xf numFmtId="0" fontId="3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12" fillId="0" borderId="0"/>
    <xf numFmtId="0" fontId="3" fillId="0" borderId="0"/>
    <xf numFmtId="0" fontId="13" fillId="0" borderId="0"/>
    <xf numFmtId="0" fontId="3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5" fontId="10" fillId="0" borderId="0"/>
    <xf numFmtId="165" fontId="10" fillId="0" borderId="0"/>
    <xf numFmtId="165" fontId="10" fillId="0" borderId="0"/>
    <xf numFmtId="165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</cellStyleXfs>
  <cellXfs count="431">
    <xf numFmtId="0" fontId="0" fillId="0" borderId="0" xfId="0"/>
    <xf numFmtId="0" fontId="5" fillId="0" borderId="0" xfId="0" applyFont="1" applyAlignment="1">
      <alignment horizontal="center" vertical="center"/>
    </xf>
    <xf numFmtId="0" fontId="4" fillId="0" borderId="0" xfId="0" applyFont="1"/>
    <xf numFmtId="0" fontId="7" fillId="0" borderId="0" xfId="0" applyFont="1"/>
    <xf numFmtId="0" fontId="4" fillId="0" borderId="0" xfId="0" applyFont="1" applyAlignment="1">
      <alignment horizontal="center" vertical="center"/>
    </xf>
    <xf numFmtId="0" fontId="8" fillId="0" borderId="0" xfId="0" applyFont="1"/>
    <xf numFmtId="0" fontId="9" fillId="2" borderId="1" xfId="0" applyFont="1" applyFill="1" applyBorder="1" applyAlignment="1">
      <alignment horizontal="center" vertical="center"/>
    </xf>
    <xf numFmtId="0" fontId="14" fillId="0" borderId="0" xfId="0" applyFont="1"/>
    <xf numFmtId="0" fontId="5" fillId="0" borderId="0" xfId="0" applyFont="1"/>
    <xf numFmtId="0" fontId="6" fillId="0" borderId="0" xfId="0" applyFont="1"/>
    <xf numFmtId="0" fontId="2" fillId="0" borderId="0" xfId="0" applyFont="1"/>
    <xf numFmtId="0" fontId="14" fillId="0" borderId="3" xfId="0" applyFont="1" applyBorder="1" applyAlignment="1">
      <alignment horizontal="center"/>
    </xf>
    <xf numFmtId="0" fontId="17" fillId="0" borderId="0" xfId="0" applyFont="1"/>
    <xf numFmtId="0" fontId="21" fillId="0" borderId="0" xfId="0" applyFont="1"/>
    <xf numFmtId="0" fontId="18" fillId="0" borderId="0" xfId="0" applyFont="1"/>
    <xf numFmtId="3" fontId="20" fillId="0" borderId="0" xfId="0" applyNumberFormat="1" applyFont="1"/>
    <xf numFmtId="20" fontId="6" fillId="0" borderId="0" xfId="0" quotePrefix="1" applyNumberFormat="1" applyFont="1"/>
    <xf numFmtId="0" fontId="22" fillId="0" borderId="3" xfId="0" applyFont="1" applyBorder="1" applyAlignment="1">
      <alignment wrapText="1"/>
    </xf>
    <xf numFmtId="0" fontId="14" fillId="0" borderId="0" xfId="0" applyFont="1" applyAlignment="1">
      <alignment horizontal="center"/>
    </xf>
    <xf numFmtId="0" fontId="14" fillId="0" borderId="4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2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/>
    <xf numFmtId="0" fontId="16" fillId="0" borderId="15" xfId="0" applyFont="1" applyBorder="1" applyAlignment="1">
      <alignment horizontal="center"/>
    </xf>
    <xf numFmtId="0" fontId="7" fillId="2" borderId="0" xfId="0" applyFont="1" applyFill="1"/>
    <xf numFmtId="0" fontId="9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center"/>
    </xf>
    <xf numFmtId="0" fontId="4" fillId="2" borderId="0" xfId="0" applyFont="1" applyFill="1"/>
    <xf numFmtId="20" fontId="16" fillId="0" borderId="23" xfId="0" applyNumberFormat="1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23" xfId="0" applyFont="1" applyBorder="1"/>
    <xf numFmtId="0" fontId="16" fillId="2" borderId="23" xfId="0" applyFont="1" applyFill="1" applyBorder="1" applyAlignment="1">
      <alignment horizontal="center"/>
    </xf>
    <xf numFmtId="20" fontId="16" fillId="2" borderId="23" xfId="0" applyNumberFormat="1" applyFont="1" applyFill="1" applyBorder="1" applyAlignment="1">
      <alignment horizontal="center"/>
    </xf>
    <xf numFmtId="0" fontId="16" fillId="2" borderId="23" xfId="0" applyFont="1" applyFill="1" applyBorder="1"/>
    <xf numFmtId="0" fontId="8" fillId="2" borderId="0" xfId="0" applyFont="1" applyFill="1"/>
    <xf numFmtId="0" fontId="8" fillId="2" borderId="0" xfId="0" applyFont="1" applyFill="1" applyAlignment="1">
      <alignment horizontal="center"/>
    </xf>
    <xf numFmtId="0" fontId="5" fillId="2" borderId="0" xfId="0" applyFont="1" applyFill="1"/>
    <xf numFmtId="0" fontId="4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6" fillId="2" borderId="0" xfId="0" applyFont="1" applyFill="1"/>
    <xf numFmtId="0" fontId="0" fillId="2" borderId="0" xfId="0" applyFill="1"/>
    <xf numFmtId="0" fontId="25" fillId="0" borderId="1" xfId="0" applyFont="1" applyBorder="1" applyAlignment="1">
      <alignment horizontal="center" textRotation="90"/>
    </xf>
    <xf numFmtId="0" fontId="25" fillId="0" borderId="1" xfId="0" applyFont="1" applyBorder="1" applyAlignment="1">
      <alignment horizontal="center" textRotation="90" wrapText="1"/>
    </xf>
    <xf numFmtId="0" fontId="25" fillId="2" borderId="1" xfId="0" applyFont="1" applyFill="1" applyBorder="1" applyAlignment="1">
      <alignment horizontal="center" textRotation="90" wrapText="1"/>
    </xf>
    <xf numFmtId="0" fontId="25" fillId="8" borderId="1" xfId="0" applyFont="1" applyFill="1" applyBorder="1" applyAlignment="1">
      <alignment horizontal="center" textRotation="90" wrapText="1"/>
    </xf>
    <xf numFmtId="0" fontId="27" fillId="0" borderId="1" xfId="0" applyFont="1" applyBorder="1" applyAlignment="1">
      <alignment horizontal="center" textRotation="90"/>
    </xf>
    <xf numFmtId="0" fontId="28" fillId="0" borderId="1" xfId="0" applyFont="1" applyBorder="1" applyAlignment="1">
      <alignment horizontal="center" textRotation="90" wrapText="1"/>
    </xf>
    <xf numFmtId="0" fontId="25" fillId="9" borderId="1" xfId="0" applyFont="1" applyFill="1" applyBorder="1" applyAlignment="1">
      <alignment horizontal="center" textRotation="90"/>
    </xf>
    <xf numFmtId="0" fontId="25" fillId="2" borderId="3" xfId="0" applyFont="1" applyFill="1" applyBorder="1" applyAlignment="1">
      <alignment horizontal="center" textRotation="90"/>
    </xf>
    <xf numFmtId="0" fontId="14" fillId="2" borderId="0" xfId="0" applyFont="1" applyFill="1" applyAlignment="1">
      <alignment horizontal="center"/>
    </xf>
    <xf numFmtId="0" fontId="22" fillId="2" borderId="0" xfId="0" applyFont="1" applyFill="1" applyAlignment="1">
      <alignment wrapText="1"/>
    </xf>
    <xf numFmtId="0" fontId="25" fillId="0" borderId="2" xfId="0" applyFont="1" applyBorder="1" applyAlignment="1">
      <alignment horizontal="center" textRotation="90" wrapText="1"/>
    </xf>
    <xf numFmtId="0" fontId="31" fillId="2" borderId="0" xfId="0" applyFont="1" applyFill="1" applyAlignment="1">
      <alignment horizontal="center" vertical="center"/>
    </xf>
    <xf numFmtId="0" fontId="31" fillId="2" borderId="0" xfId="0" applyFont="1" applyFill="1" applyAlignment="1">
      <alignment vertical="center"/>
    </xf>
    <xf numFmtId="20" fontId="6" fillId="4" borderId="2" xfId="0" applyNumberFormat="1" applyFont="1" applyFill="1" applyBorder="1" applyAlignment="1">
      <alignment horizontal="center"/>
    </xf>
    <xf numFmtId="0" fontId="16" fillId="0" borderId="28" xfId="0" applyFont="1" applyBorder="1" applyAlignment="1">
      <alignment horizontal="center"/>
    </xf>
    <xf numFmtId="0" fontId="16" fillId="0" borderId="28" xfId="0" applyFont="1" applyBorder="1"/>
    <xf numFmtId="0" fontId="25" fillId="4" borderId="13" xfId="0" applyFont="1" applyFill="1" applyBorder="1" applyAlignment="1">
      <alignment horizontal="center" textRotation="90"/>
    </xf>
    <xf numFmtId="20" fontId="6" fillId="2" borderId="26" xfId="0" applyNumberFormat="1" applyFont="1" applyFill="1" applyBorder="1" applyAlignment="1">
      <alignment horizontal="center"/>
    </xf>
    <xf numFmtId="20" fontId="19" fillId="2" borderId="26" xfId="0" applyNumberFormat="1" applyFont="1" applyFill="1" applyBorder="1" applyAlignment="1">
      <alignment horizontal="center"/>
    </xf>
    <xf numFmtId="20" fontId="18" fillId="2" borderId="26" xfId="0" applyNumberFormat="1" applyFont="1" applyFill="1" applyBorder="1" applyAlignment="1">
      <alignment horizontal="center"/>
    </xf>
    <xf numFmtId="20" fontId="19" fillId="2" borderId="1" xfId="0" applyNumberFormat="1" applyFont="1" applyFill="1" applyBorder="1" applyAlignment="1">
      <alignment horizontal="center"/>
    </xf>
    <xf numFmtId="20" fontId="6" fillId="9" borderId="3" xfId="0" applyNumberFormat="1" applyFont="1" applyFill="1" applyBorder="1" applyAlignment="1">
      <alignment horizontal="center"/>
    </xf>
    <xf numFmtId="20" fontId="6" fillId="9" borderId="5" xfId="0" applyNumberFormat="1" applyFont="1" applyFill="1" applyBorder="1" applyAlignment="1">
      <alignment horizontal="center"/>
    </xf>
    <xf numFmtId="20" fontId="6" fillId="9" borderId="21" xfId="0" applyNumberFormat="1" applyFont="1" applyFill="1" applyBorder="1" applyAlignment="1">
      <alignment horizontal="center"/>
    </xf>
    <xf numFmtId="20" fontId="6" fillId="2" borderId="3" xfId="0" applyNumberFormat="1" applyFont="1" applyFill="1" applyBorder="1" applyAlignment="1">
      <alignment horizontal="center"/>
    </xf>
    <xf numFmtId="20" fontId="6" fillId="2" borderId="4" xfId="0" applyNumberFormat="1" applyFont="1" applyFill="1" applyBorder="1" applyAlignment="1">
      <alignment horizontal="center"/>
    </xf>
    <xf numFmtId="20" fontId="6" fillId="0" borderId="4" xfId="0" applyNumberFormat="1" applyFont="1" applyBorder="1" applyAlignment="1">
      <alignment horizontal="center"/>
    </xf>
    <xf numFmtId="20" fontId="6" fillId="4" borderId="1" xfId="0" applyNumberFormat="1" applyFont="1" applyFill="1" applyBorder="1" applyAlignment="1">
      <alignment horizontal="center"/>
    </xf>
    <xf numFmtId="20" fontId="6" fillId="10" borderId="2" xfId="0" applyNumberFormat="1" applyFont="1" applyFill="1" applyBorder="1" applyAlignment="1">
      <alignment horizontal="center"/>
    </xf>
    <xf numFmtId="20" fontId="19" fillId="2" borderId="4" xfId="0" applyNumberFormat="1" applyFont="1" applyFill="1" applyBorder="1" applyAlignment="1">
      <alignment horizontal="center"/>
    </xf>
    <xf numFmtId="20" fontId="6" fillId="9" borderId="1" xfId="0" applyNumberFormat="1" applyFont="1" applyFill="1" applyBorder="1" applyAlignment="1">
      <alignment horizontal="center"/>
    </xf>
    <xf numFmtId="20" fontId="6" fillId="0" borderId="26" xfId="0" applyNumberFormat="1" applyFont="1" applyBorder="1" applyAlignment="1">
      <alignment horizontal="center"/>
    </xf>
    <xf numFmtId="20" fontId="6" fillId="2" borderId="17" xfId="0" applyNumberFormat="1" applyFont="1" applyFill="1" applyBorder="1" applyAlignment="1">
      <alignment horizontal="center"/>
    </xf>
    <xf numFmtId="20" fontId="6" fillId="2" borderId="18" xfId="0" applyNumberFormat="1" applyFont="1" applyFill="1" applyBorder="1" applyAlignment="1">
      <alignment horizontal="center"/>
    </xf>
    <xf numFmtId="20" fontId="19" fillId="2" borderId="18" xfId="0" applyNumberFormat="1" applyFont="1" applyFill="1" applyBorder="1" applyAlignment="1">
      <alignment horizontal="center"/>
    </xf>
    <xf numFmtId="20" fontId="6" fillId="0" borderId="18" xfId="0" applyNumberFormat="1" applyFont="1" applyBorder="1" applyAlignment="1">
      <alignment horizontal="center"/>
    </xf>
    <xf numFmtId="20" fontId="6" fillId="2" borderId="0" xfId="0" applyNumberFormat="1" applyFont="1" applyFill="1" applyAlignment="1">
      <alignment horizontal="center"/>
    </xf>
    <xf numFmtId="20" fontId="6" fillId="10" borderId="1" xfId="0" applyNumberFormat="1" applyFont="1" applyFill="1" applyBorder="1" applyAlignment="1">
      <alignment horizontal="center"/>
    </xf>
    <xf numFmtId="20" fontId="6" fillId="0" borderId="0" xfId="0" applyNumberFormat="1" applyFont="1" applyAlignment="1">
      <alignment horizontal="center"/>
    </xf>
    <xf numFmtId="20" fontId="6" fillId="2" borderId="6" xfId="0" applyNumberFormat="1" applyFont="1" applyFill="1" applyBorder="1" applyAlignment="1">
      <alignment horizontal="center"/>
    </xf>
    <xf numFmtId="20" fontId="19" fillId="2" borderId="6" xfId="0" applyNumberFormat="1" applyFont="1" applyFill="1" applyBorder="1" applyAlignment="1">
      <alignment horizontal="center"/>
    </xf>
    <xf numFmtId="20" fontId="6" fillId="0" borderId="6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29" fillId="0" borderId="1" xfId="0" applyFont="1" applyBorder="1" applyAlignment="1">
      <alignment horizontal="center" textRotation="90" wrapText="1"/>
    </xf>
    <xf numFmtId="20" fontId="6" fillId="2" borderId="21" xfId="0" applyNumberFormat="1" applyFont="1" applyFill="1" applyBorder="1" applyAlignment="1">
      <alignment horizontal="center"/>
    </xf>
    <xf numFmtId="20" fontId="6" fillId="4" borderId="22" xfId="0" applyNumberFormat="1" applyFont="1" applyFill="1" applyBorder="1" applyAlignment="1">
      <alignment horizontal="center"/>
    </xf>
    <xf numFmtId="20" fontId="6" fillId="0" borderId="29" xfId="0" applyNumberFormat="1" applyFont="1" applyBorder="1" applyAlignment="1">
      <alignment horizontal="center"/>
    </xf>
    <xf numFmtId="20" fontId="6" fillId="0" borderId="30" xfId="0" applyNumberFormat="1" applyFont="1" applyBorder="1" applyAlignment="1">
      <alignment horizontal="center"/>
    </xf>
    <xf numFmtId="20" fontId="6" fillId="4" borderId="3" xfId="0" applyNumberFormat="1" applyFont="1" applyFill="1" applyBorder="1" applyAlignment="1">
      <alignment horizontal="center"/>
    </xf>
    <xf numFmtId="0" fontId="15" fillId="0" borderId="4" xfId="0" applyFont="1" applyBorder="1" applyAlignment="1">
      <alignment vertical="center"/>
    </xf>
    <xf numFmtId="0" fontId="15" fillId="0" borderId="14" xfId="0" applyFont="1" applyBorder="1" applyAlignment="1">
      <alignment vertical="center"/>
    </xf>
    <xf numFmtId="0" fontId="16" fillId="0" borderId="1" xfId="0" applyFont="1" applyBorder="1" applyAlignment="1">
      <alignment horizontal="center" vertical="center"/>
    </xf>
    <xf numFmtId="20" fontId="19" fillId="10" borderId="2" xfId="0" applyNumberFormat="1" applyFont="1" applyFill="1" applyBorder="1" applyAlignment="1">
      <alignment horizontal="center"/>
    </xf>
    <xf numFmtId="20" fontId="19" fillId="10" borderId="21" xfId="0" applyNumberFormat="1" applyFont="1" applyFill="1" applyBorder="1" applyAlignment="1">
      <alignment horizontal="center"/>
    </xf>
    <xf numFmtId="0" fontId="25" fillId="2" borderId="21" xfId="0" applyFont="1" applyFill="1" applyBorder="1" applyAlignment="1">
      <alignment horizontal="center" textRotation="90"/>
    </xf>
    <xf numFmtId="0" fontId="25" fillId="2" borderId="5" xfId="0" applyFont="1" applyFill="1" applyBorder="1" applyAlignment="1">
      <alignment horizontal="center" textRotation="90"/>
    </xf>
    <xf numFmtId="3" fontId="6" fillId="2" borderId="5" xfId="0" applyNumberFormat="1" applyFont="1" applyFill="1" applyBorder="1" applyAlignment="1">
      <alignment horizontal="center"/>
    </xf>
    <xf numFmtId="0" fontId="25" fillId="0" borderId="4" xfId="0" applyFont="1" applyBorder="1" applyAlignment="1">
      <alignment horizontal="center" textRotation="90" wrapText="1"/>
    </xf>
    <xf numFmtId="49" fontId="5" fillId="2" borderId="21" xfId="0" applyNumberFormat="1" applyFont="1" applyFill="1" applyBorder="1" applyAlignment="1">
      <alignment horizontal="center" vertical="center"/>
    </xf>
    <xf numFmtId="1" fontId="5" fillId="2" borderId="21" xfId="0" applyNumberFormat="1" applyFont="1" applyFill="1" applyBorder="1" applyAlignment="1">
      <alignment horizontal="center" vertical="center"/>
    </xf>
    <xf numFmtId="0" fontId="14" fillId="0" borderId="24" xfId="0" applyFont="1" applyBorder="1" applyAlignment="1">
      <alignment horizontal="center"/>
    </xf>
    <xf numFmtId="0" fontId="5" fillId="2" borderId="24" xfId="0" applyFont="1" applyFill="1" applyBorder="1" applyAlignment="1">
      <alignment horizontal="center"/>
    </xf>
    <xf numFmtId="0" fontId="8" fillId="0" borderId="0" xfId="0" applyFont="1" applyAlignment="1">
      <alignment vertical="center"/>
    </xf>
    <xf numFmtId="0" fontId="9" fillId="2" borderId="0" xfId="0" applyFont="1" applyFill="1" applyAlignment="1">
      <alignment horizontal="left" vertical="top"/>
    </xf>
    <xf numFmtId="0" fontId="26" fillId="0" borderId="0" xfId="0" applyFont="1" applyAlignment="1">
      <alignment horizontal="center" vertical="center"/>
    </xf>
    <xf numFmtId="0" fontId="30" fillId="0" borderId="4" xfId="0" applyFont="1" applyBorder="1" applyAlignment="1">
      <alignment horizontal="center"/>
    </xf>
    <xf numFmtId="0" fontId="37" fillId="2" borderId="0" xfId="0" applyFont="1" applyFill="1" applyAlignment="1">
      <alignment vertical="center"/>
    </xf>
    <xf numFmtId="0" fontId="33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49" fontId="24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20" fontId="6" fillId="0" borderId="18" xfId="0" applyNumberFormat="1" applyFont="1" applyBorder="1" applyAlignment="1">
      <alignment vertical="center"/>
    </xf>
    <xf numFmtId="20" fontId="6" fillId="3" borderId="17" xfId="0" applyNumberFormat="1" applyFont="1" applyFill="1" applyBorder="1"/>
    <xf numFmtId="20" fontId="6" fillId="9" borderId="14" xfId="0" applyNumberFormat="1" applyFont="1" applyFill="1" applyBorder="1" applyAlignment="1">
      <alignment vertical="center"/>
    </xf>
    <xf numFmtId="20" fontId="6" fillId="9" borderId="17" xfId="0" applyNumberFormat="1" applyFont="1" applyFill="1" applyBorder="1"/>
    <xf numFmtId="20" fontId="6" fillId="0" borderId="4" xfId="0" applyNumberFormat="1" applyFont="1" applyBorder="1" applyAlignment="1">
      <alignment vertical="center"/>
    </xf>
    <xf numFmtId="20" fontId="6" fillId="2" borderId="4" xfId="0" applyNumberFormat="1" applyFont="1" applyFill="1" applyBorder="1" applyAlignment="1">
      <alignment vertical="center"/>
    </xf>
    <xf numFmtId="20" fontId="6" fillId="3" borderId="3" xfId="0" applyNumberFormat="1" applyFont="1" applyFill="1" applyBorder="1"/>
    <xf numFmtId="20" fontId="6" fillId="4" borderId="14" xfId="0" applyNumberFormat="1" applyFont="1" applyFill="1" applyBorder="1" applyAlignment="1">
      <alignment vertical="center"/>
    </xf>
    <xf numFmtId="20" fontId="6" fillId="4" borderId="17" xfId="0" applyNumberFormat="1" applyFont="1" applyFill="1" applyBorder="1"/>
    <xf numFmtId="20" fontId="6" fillId="2" borderId="18" xfId="0" applyNumberFormat="1" applyFont="1" applyFill="1" applyBorder="1" applyAlignment="1">
      <alignment vertical="center"/>
    </xf>
    <xf numFmtId="20" fontId="6" fillId="10" borderId="14" xfId="0" applyNumberFormat="1" applyFont="1" applyFill="1" applyBorder="1" applyAlignment="1">
      <alignment vertical="center"/>
    </xf>
    <xf numFmtId="20" fontId="6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20" fontId="6" fillId="0" borderId="6" xfId="0" applyNumberFormat="1" applyFont="1" applyBorder="1" applyAlignment="1">
      <alignment vertical="center"/>
    </xf>
    <xf numFmtId="20" fontId="6" fillId="4" borderId="19" xfId="0" applyNumberFormat="1" applyFont="1" applyFill="1" applyBorder="1" applyAlignment="1">
      <alignment vertical="center"/>
    </xf>
    <xf numFmtId="20" fontId="6" fillId="9" borderId="20" xfId="0" applyNumberFormat="1" applyFont="1" applyFill="1" applyBorder="1" applyAlignment="1">
      <alignment vertical="center"/>
    </xf>
    <xf numFmtId="20" fontId="6" fillId="9" borderId="2" xfId="0" applyNumberFormat="1" applyFont="1" applyFill="1" applyBorder="1" applyAlignment="1">
      <alignment vertical="center"/>
    </xf>
    <xf numFmtId="20" fontId="19" fillId="9" borderId="19" xfId="0" applyNumberFormat="1" applyFont="1" applyFill="1" applyBorder="1" applyAlignment="1">
      <alignment vertical="center"/>
    </xf>
    <xf numFmtId="0" fontId="7" fillId="2" borderId="0" xfId="0" applyFont="1" applyFill="1" applyAlignment="1">
      <alignment vertical="center"/>
    </xf>
    <xf numFmtId="20" fontId="19" fillId="10" borderId="3" xfId="0" applyNumberFormat="1" applyFont="1" applyFill="1" applyBorder="1"/>
    <xf numFmtId="20" fontId="6" fillId="4" borderId="1" xfId="0" applyNumberFormat="1" applyFont="1" applyFill="1" applyBorder="1"/>
    <xf numFmtId="0" fontId="16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20" fontId="19" fillId="2" borderId="0" xfId="0" applyNumberFormat="1" applyFont="1" applyFill="1" applyAlignment="1">
      <alignment horizontal="center"/>
    </xf>
    <xf numFmtId="20" fontId="19" fillId="2" borderId="5" xfId="0" applyNumberFormat="1" applyFont="1" applyFill="1" applyBorder="1" applyAlignment="1">
      <alignment horizontal="center"/>
    </xf>
    <xf numFmtId="20" fontId="6" fillId="2" borderId="2" xfId="0" applyNumberFormat="1" applyFont="1" applyFill="1" applyBorder="1" applyAlignment="1">
      <alignment horizontal="center"/>
    </xf>
    <xf numFmtId="20" fontId="19" fillId="2" borderId="2" xfId="0" applyNumberFormat="1" applyFont="1" applyFill="1" applyBorder="1" applyAlignment="1">
      <alignment horizontal="center"/>
    </xf>
    <xf numFmtId="20" fontId="18" fillId="2" borderId="2" xfId="0" applyNumberFormat="1" applyFont="1" applyFill="1" applyBorder="1" applyAlignment="1">
      <alignment horizontal="center"/>
    </xf>
    <xf numFmtId="20" fontId="6" fillId="2" borderId="1" xfId="0" applyNumberFormat="1" applyFont="1" applyFill="1" applyBorder="1" applyAlignment="1">
      <alignment horizontal="center"/>
    </xf>
    <xf numFmtId="20" fontId="18" fillId="2" borderId="1" xfId="0" applyNumberFormat="1" applyFont="1" applyFill="1" applyBorder="1" applyAlignment="1">
      <alignment horizontal="center"/>
    </xf>
    <xf numFmtId="20" fontId="19" fillId="17" borderId="5" xfId="0" applyNumberFormat="1" applyFont="1" applyFill="1" applyBorder="1" applyAlignment="1">
      <alignment horizontal="center"/>
    </xf>
    <xf numFmtId="20" fontId="6" fillId="17" borderId="27" xfId="0" applyNumberFormat="1" applyFont="1" applyFill="1" applyBorder="1" applyAlignment="1">
      <alignment horizontal="center"/>
    </xf>
    <xf numFmtId="20" fontId="6" fillId="17" borderId="2" xfId="0" applyNumberFormat="1" applyFont="1" applyFill="1" applyBorder="1" applyAlignment="1">
      <alignment horizontal="center"/>
    </xf>
    <xf numFmtId="20" fontId="6" fillId="17" borderId="22" xfId="0" applyNumberFormat="1" applyFont="1" applyFill="1" applyBorder="1" applyAlignment="1">
      <alignment horizontal="center"/>
    </xf>
    <xf numFmtId="20" fontId="19" fillId="2" borderId="22" xfId="0" applyNumberFormat="1" applyFont="1" applyFill="1" applyBorder="1" applyAlignment="1">
      <alignment horizontal="center"/>
    </xf>
    <xf numFmtId="20" fontId="6" fillId="2" borderId="5" xfId="0" applyNumberFormat="1" applyFont="1" applyFill="1" applyBorder="1" applyAlignment="1">
      <alignment horizontal="center"/>
    </xf>
    <xf numFmtId="20" fontId="6" fillId="2" borderId="13" xfId="0" applyNumberFormat="1" applyFont="1" applyFill="1" applyBorder="1"/>
    <xf numFmtId="20" fontId="19" fillId="2" borderId="13" xfId="0" applyNumberFormat="1" applyFont="1" applyFill="1" applyBorder="1"/>
    <xf numFmtId="20" fontId="6" fillId="2" borderId="1" xfId="0" applyNumberFormat="1" applyFont="1" applyFill="1" applyBorder="1"/>
    <xf numFmtId="20" fontId="19" fillId="2" borderId="1" xfId="0" applyNumberFormat="1" applyFont="1" applyFill="1" applyBorder="1"/>
    <xf numFmtId="0" fontId="38" fillId="2" borderId="0" xfId="0" applyFont="1" applyFill="1" applyAlignment="1">
      <alignment vertical="center"/>
    </xf>
    <xf numFmtId="0" fontId="25" fillId="2" borderId="1" xfId="0" applyFont="1" applyFill="1" applyBorder="1" applyAlignment="1">
      <alignment horizontal="center" textRotation="90"/>
    </xf>
    <xf numFmtId="20" fontId="6" fillId="2" borderId="14" xfId="0" applyNumberFormat="1" applyFont="1" applyFill="1" applyBorder="1" applyAlignment="1">
      <alignment vertical="center"/>
    </xf>
    <xf numFmtId="20" fontId="6" fillId="2" borderId="0" xfId="0" applyNumberFormat="1" applyFont="1" applyFill="1" applyAlignment="1">
      <alignment vertical="center"/>
    </xf>
    <xf numFmtId="20" fontId="6" fillId="2" borderId="19" xfId="0" applyNumberFormat="1" applyFont="1" applyFill="1" applyBorder="1" applyAlignment="1">
      <alignment vertical="center"/>
    </xf>
    <xf numFmtId="20" fontId="6" fillId="2" borderId="6" xfId="0" applyNumberFormat="1" applyFont="1" applyFill="1" applyBorder="1" applyAlignment="1">
      <alignment vertical="center"/>
    </xf>
    <xf numFmtId="20" fontId="20" fillId="2" borderId="19" xfId="0" applyNumberFormat="1" applyFont="1" applyFill="1" applyBorder="1" applyAlignment="1">
      <alignment vertical="center"/>
    </xf>
    <xf numFmtId="20" fontId="20" fillId="2" borderId="13" xfId="0" applyNumberFormat="1" applyFont="1" applyFill="1" applyBorder="1" applyAlignment="1">
      <alignment vertical="center"/>
    </xf>
    <xf numFmtId="20" fontId="39" fillId="2" borderId="4" xfId="0" applyNumberFormat="1" applyFont="1" applyFill="1" applyBorder="1" applyAlignment="1">
      <alignment vertical="center"/>
    </xf>
    <xf numFmtId="0" fontId="29" fillId="2" borderId="1" xfId="0" applyFont="1" applyFill="1" applyBorder="1" applyAlignment="1">
      <alignment horizontal="center" textRotation="90" wrapText="1"/>
    </xf>
    <xf numFmtId="0" fontId="28" fillId="2" borderId="1" xfId="0" applyFont="1" applyFill="1" applyBorder="1" applyAlignment="1">
      <alignment horizontal="center" textRotation="90" wrapText="1"/>
    </xf>
    <xf numFmtId="20" fontId="6" fillId="2" borderId="31" xfId="0" applyNumberFormat="1" applyFont="1" applyFill="1" applyBorder="1" applyAlignment="1">
      <alignment vertical="center"/>
    </xf>
    <xf numFmtId="20" fontId="6" fillId="2" borderId="20" xfId="0" applyNumberFormat="1" applyFont="1" applyFill="1" applyBorder="1" applyAlignment="1">
      <alignment vertical="center"/>
    </xf>
    <xf numFmtId="20" fontId="19" fillId="2" borderId="13" xfId="0" applyNumberFormat="1" applyFont="1" applyFill="1" applyBorder="1" applyAlignment="1">
      <alignment vertical="center"/>
    </xf>
    <xf numFmtId="20" fontId="6" fillId="17" borderId="1" xfId="0" applyNumberFormat="1" applyFont="1" applyFill="1" applyBorder="1" applyAlignment="1">
      <alignment horizontal="center"/>
    </xf>
    <xf numFmtId="0" fontId="25" fillId="2" borderId="13" xfId="0" applyFont="1" applyFill="1" applyBorder="1" applyAlignment="1">
      <alignment horizontal="center" textRotation="90"/>
    </xf>
    <xf numFmtId="0" fontId="16" fillId="0" borderId="24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20" fontId="6" fillId="9" borderId="1" xfId="0" applyNumberFormat="1" applyFont="1" applyFill="1" applyBorder="1"/>
    <xf numFmtId="0" fontId="15" fillId="11" borderId="8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2" borderId="0" xfId="613" applyNumberFormat="1" applyFont="1" applyFill="1" applyBorder="1" applyAlignment="1">
      <alignment horizontal="center" vertical="center"/>
    </xf>
    <xf numFmtId="0" fontId="4" fillId="15" borderId="6" xfId="0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1" fillId="0" borderId="0" xfId="0" applyFont="1" applyAlignment="1">
      <alignment horizontal="left" vertical="center"/>
    </xf>
    <xf numFmtId="0" fontId="41" fillId="0" borderId="1" xfId="0" applyFont="1" applyBorder="1" applyAlignment="1">
      <alignment horizontal="left" vertical="center"/>
    </xf>
    <xf numFmtId="0" fontId="41" fillId="0" borderId="4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1" fillId="2" borderId="17" xfId="0" applyFont="1" applyFill="1" applyBorder="1" applyAlignment="1">
      <alignment vertical="center" textRotation="90"/>
    </xf>
    <xf numFmtId="0" fontId="42" fillId="0" borderId="5" xfId="0" applyFont="1" applyBorder="1" applyAlignment="1">
      <alignment vertical="center"/>
    </xf>
    <xf numFmtId="20" fontId="41" fillId="0" borderId="22" xfId="0" applyNumberFormat="1" applyFont="1" applyBorder="1" applyAlignment="1">
      <alignment vertical="center"/>
    </xf>
    <xf numFmtId="20" fontId="41" fillId="4" borderId="1" xfId="0" applyNumberFormat="1" applyFont="1" applyFill="1" applyBorder="1" applyAlignment="1">
      <alignment vertical="center"/>
    </xf>
    <xf numFmtId="20" fontId="41" fillId="0" borderId="17" xfId="0" applyNumberFormat="1" applyFont="1" applyBorder="1" applyAlignment="1">
      <alignment vertical="center"/>
    </xf>
    <xf numFmtId="0" fontId="42" fillId="0" borderId="0" xfId="0" applyFont="1" applyAlignment="1">
      <alignment vertical="center"/>
    </xf>
    <xf numFmtId="0" fontId="42" fillId="0" borderId="2" xfId="0" applyFont="1" applyBorder="1" applyAlignment="1">
      <alignment vertical="center"/>
    </xf>
    <xf numFmtId="20" fontId="41" fillId="4" borderId="2" xfId="0" applyNumberFormat="1" applyFont="1" applyFill="1" applyBorder="1" applyAlignment="1">
      <alignment vertical="center"/>
    </xf>
    <xf numFmtId="20" fontId="41" fillId="4" borderId="13" xfId="0" applyNumberFormat="1" applyFont="1" applyFill="1" applyBorder="1" applyAlignment="1">
      <alignment vertical="center"/>
    </xf>
    <xf numFmtId="20" fontId="41" fillId="0" borderId="21" xfId="0" applyNumberFormat="1" applyFont="1" applyBorder="1" applyAlignment="1">
      <alignment vertical="center"/>
    </xf>
    <xf numFmtId="20" fontId="41" fillId="0" borderId="3" xfId="0" applyNumberFormat="1" applyFont="1" applyBorder="1" applyAlignment="1">
      <alignment vertical="center"/>
    </xf>
    <xf numFmtId="0" fontId="42" fillId="0" borderId="13" xfId="0" applyFont="1" applyBorder="1" applyAlignment="1">
      <alignment vertical="center"/>
    </xf>
    <xf numFmtId="3" fontId="44" fillId="0" borderId="0" xfId="0" applyNumberFormat="1" applyFont="1" applyAlignment="1">
      <alignment horizontal="center" vertical="center"/>
    </xf>
    <xf numFmtId="0" fontId="41" fillId="0" borderId="1" xfId="0" applyFont="1" applyBorder="1" applyAlignment="1">
      <alignment horizontal="center" vertical="center" textRotation="90" wrapText="1"/>
    </xf>
    <xf numFmtId="20" fontId="43" fillId="2" borderId="5" xfId="0" applyNumberFormat="1" applyFont="1" applyFill="1" applyBorder="1" applyAlignment="1">
      <alignment horizontal="center" vertical="center"/>
    </xf>
    <xf numFmtId="20" fontId="41" fillId="2" borderId="25" xfId="0" applyNumberFormat="1" applyFont="1" applyFill="1" applyBorder="1" applyAlignment="1">
      <alignment horizontal="center" vertical="center"/>
    </xf>
    <xf numFmtId="20" fontId="41" fillId="2" borderId="2" xfId="0" applyNumberFormat="1" applyFont="1" applyFill="1" applyBorder="1" applyAlignment="1">
      <alignment horizontal="center" vertical="center"/>
    </xf>
    <xf numFmtId="20" fontId="41" fillId="2" borderId="1" xfId="0" applyNumberFormat="1" applyFont="1" applyFill="1" applyBorder="1" applyAlignment="1">
      <alignment horizontal="center" vertical="center"/>
    </xf>
    <xf numFmtId="0" fontId="41" fillId="4" borderId="1" xfId="0" applyFont="1" applyFill="1" applyBorder="1" applyAlignment="1">
      <alignment horizontal="center" vertical="center" textRotation="90"/>
    </xf>
    <xf numFmtId="0" fontId="41" fillId="2" borderId="3" xfId="0" applyFont="1" applyFill="1" applyBorder="1" applyAlignment="1">
      <alignment horizontal="center" vertical="center" textRotation="90"/>
    </xf>
    <xf numFmtId="0" fontId="16" fillId="0" borderId="1" xfId="0" applyFont="1" applyBorder="1" applyAlignment="1">
      <alignment horizontal="center" textRotation="90"/>
    </xf>
    <xf numFmtId="3" fontId="45" fillId="10" borderId="2" xfId="0" applyNumberFormat="1" applyFont="1" applyFill="1" applyBorder="1" applyAlignment="1">
      <alignment horizontal="center"/>
    </xf>
    <xf numFmtId="3" fontId="16" fillId="9" borderId="3" xfId="0" applyNumberFormat="1" applyFont="1" applyFill="1" applyBorder="1" applyAlignment="1">
      <alignment horizontal="center"/>
    </xf>
    <xf numFmtId="3" fontId="16" fillId="9" borderId="1" xfId="0" applyNumberFormat="1" applyFont="1" applyFill="1" applyBorder="1" applyAlignment="1">
      <alignment horizontal="center"/>
    </xf>
    <xf numFmtId="3" fontId="16" fillId="3" borderId="1" xfId="0" applyNumberFormat="1" applyFont="1" applyFill="1" applyBorder="1" applyAlignment="1">
      <alignment horizontal="center"/>
    </xf>
    <xf numFmtId="3" fontId="16" fillId="7" borderId="1" xfId="0" applyNumberFormat="1" applyFont="1" applyFill="1" applyBorder="1" applyAlignment="1">
      <alignment horizontal="center"/>
    </xf>
    <xf numFmtId="3" fontId="46" fillId="9" borderId="1" xfId="0" applyNumberFormat="1" applyFont="1" applyFill="1" applyBorder="1" applyAlignment="1">
      <alignment horizontal="center"/>
    </xf>
    <xf numFmtId="3" fontId="36" fillId="0" borderId="6" xfId="0" applyNumberFormat="1" applyFont="1" applyBorder="1" applyAlignment="1">
      <alignment textRotation="90"/>
    </xf>
    <xf numFmtId="0" fontId="16" fillId="0" borderId="2" xfId="0" applyFont="1" applyBorder="1" applyAlignment="1">
      <alignment horizontal="center" textRotation="90"/>
    </xf>
    <xf numFmtId="3" fontId="16" fillId="3" borderId="1" xfId="0" applyNumberFormat="1" applyFont="1" applyFill="1" applyBorder="1"/>
    <xf numFmtId="3" fontId="16" fillId="9" borderId="3" xfId="0" quotePrefix="1" applyNumberFormat="1" applyFont="1" applyFill="1" applyBorder="1"/>
    <xf numFmtId="3" fontId="16" fillId="7" borderId="1" xfId="0" applyNumberFormat="1" applyFont="1" applyFill="1" applyBorder="1"/>
    <xf numFmtId="3" fontId="16" fillId="9" borderId="1" xfId="0" quotePrefix="1" applyNumberFormat="1" applyFont="1" applyFill="1" applyBorder="1"/>
    <xf numFmtId="3" fontId="16" fillId="3" borderId="3" xfId="0" applyNumberFormat="1" applyFont="1" applyFill="1" applyBorder="1"/>
    <xf numFmtId="3" fontId="16" fillId="9" borderId="3" xfId="0" applyNumberFormat="1" applyFont="1" applyFill="1" applyBorder="1"/>
    <xf numFmtId="3" fontId="16" fillId="10" borderId="3" xfId="0" applyNumberFormat="1" applyFont="1" applyFill="1" applyBorder="1"/>
    <xf numFmtId="0" fontId="15" fillId="4" borderId="17" xfId="0" applyFont="1" applyFill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1" xfId="0" applyFont="1" applyBorder="1" applyAlignment="1">
      <alignment horizontal="center" vertical="center"/>
    </xf>
    <xf numFmtId="0" fontId="15" fillId="12" borderId="0" xfId="0" applyFont="1" applyFill="1" applyAlignment="1">
      <alignment horizontal="center"/>
    </xf>
    <xf numFmtId="20" fontId="15" fillId="14" borderId="0" xfId="0" applyNumberFormat="1" applyFont="1" applyFill="1" applyAlignment="1">
      <alignment horizontal="center"/>
    </xf>
    <xf numFmtId="0" fontId="15" fillId="14" borderId="0" xfId="0" applyFont="1" applyFill="1" applyAlignment="1">
      <alignment horizontal="center" vertical="center"/>
    </xf>
    <xf numFmtId="0" fontId="15" fillId="0" borderId="22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6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20" fontId="15" fillId="11" borderId="8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20" fontId="15" fillId="0" borderId="0" xfId="0" applyNumberFormat="1" applyFont="1" applyAlignment="1">
      <alignment horizontal="center" vertical="center"/>
    </xf>
    <xf numFmtId="0" fontId="15" fillId="11" borderId="15" xfId="0" applyFont="1" applyFill="1" applyBorder="1" applyAlignment="1">
      <alignment horizontal="center" vertical="center"/>
    </xf>
    <xf numFmtId="20" fontId="15" fillId="11" borderId="0" xfId="0" applyNumberFormat="1" applyFont="1" applyFill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20" fontId="15" fillId="2" borderId="0" xfId="0" applyNumberFormat="1" applyFont="1" applyFill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20" fontId="15" fillId="11" borderId="11" xfId="0" applyNumberFormat="1" applyFont="1" applyFill="1" applyBorder="1" applyAlignment="1">
      <alignment horizontal="center" vertical="center"/>
    </xf>
    <xf numFmtId="0" fontId="36" fillId="2" borderId="0" xfId="0" applyFont="1" applyFill="1" applyAlignment="1">
      <alignment horizontal="center" vertical="center"/>
    </xf>
    <xf numFmtId="0" fontId="16" fillId="0" borderId="1" xfId="0" applyFont="1" applyBorder="1" applyAlignment="1">
      <alignment horizontal="center" vertical="center" textRotation="90"/>
    </xf>
    <xf numFmtId="0" fontId="47" fillId="0" borderId="0" xfId="0" applyFont="1"/>
    <xf numFmtId="0" fontId="47" fillId="2" borderId="0" xfId="0" applyFont="1" applyFill="1"/>
    <xf numFmtId="0" fontId="47" fillId="2" borderId="31" xfId="0" applyFont="1" applyFill="1" applyBorder="1"/>
    <xf numFmtId="0" fontId="47" fillId="0" borderId="31" xfId="0" applyFont="1" applyBorder="1"/>
    <xf numFmtId="164" fontId="48" fillId="2" borderId="31" xfId="0" applyNumberFormat="1" applyFont="1" applyFill="1" applyBorder="1" applyAlignment="1">
      <alignment horizontal="center" vertical="center"/>
    </xf>
    <xf numFmtId="0" fontId="48" fillId="2" borderId="31" xfId="0" applyFont="1" applyFill="1" applyBorder="1" applyAlignment="1">
      <alignment horizontal="left" vertical="top"/>
    </xf>
    <xf numFmtId="0" fontId="47" fillId="4" borderId="31" xfId="0" applyFont="1" applyFill="1" applyBorder="1"/>
    <xf numFmtId="0" fontId="47" fillId="15" borderId="31" xfId="0" applyFont="1" applyFill="1" applyBorder="1"/>
    <xf numFmtId="0" fontId="26" fillId="2" borderId="31" xfId="0" applyFont="1" applyFill="1" applyBorder="1"/>
    <xf numFmtId="0" fontId="26" fillId="4" borderId="31" xfId="0" applyFont="1" applyFill="1" applyBorder="1"/>
    <xf numFmtId="0" fontId="47" fillId="15" borderId="20" xfId="0" applyFont="1" applyFill="1" applyBorder="1"/>
    <xf numFmtId="0" fontId="26" fillId="2" borderId="0" xfId="0" applyFont="1" applyFill="1"/>
    <xf numFmtId="0" fontId="49" fillId="2" borderId="0" xfId="0" applyFont="1" applyFill="1" applyAlignment="1">
      <alignment vertical="top"/>
    </xf>
    <xf numFmtId="0" fontId="26" fillId="0" borderId="0" xfId="0" applyFont="1"/>
    <xf numFmtId="49" fontId="48" fillId="0" borderId="1" xfId="69" applyNumberFormat="1" applyFont="1" applyBorder="1" applyAlignment="1">
      <alignment vertical="center"/>
    </xf>
    <xf numFmtId="0" fontId="26" fillId="0" borderId="1" xfId="0" applyFont="1" applyBorder="1" applyAlignment="1">
      <alignment horizontal="center" vertical="center"/>
    </xf>
    <xf numFmtId="0" fontId="50" fillId="0" borderId="1" xfId="70" applyFont="1" applyBorder="1" applyAlignment="1">
      <alignment horizontal="left" vertical="center"/>
    </xf>
    <xf numFmtId="0" fontId="42" fillId="4" borderId="0" xfId="0" applyFont="1" applyFill="1" applyAlignment="1">
      <alignment vertical="center"/>
    </xf>
    <xf numFmtId="0" fontId="42" fillId="18" borderId="0" xfId="0" applyFont="1" applyFill="1" applyAlignment="1">
      <alignment vertical="center"/>
    </xf>
    <xf numFmtId="0" fontId="41" fillId="0" borderId="0" xfId="0" applyFont="1"/>
    <xf numFmtId="0" fontId="42" fillId="0" borderId="0" xfId="0" applyFont="1"/>
    <xf numFmtId="20" fontId="16" fillId="17" borderId="13" xfId="0" applyNumberFormat="1" applyFont="1" applyFill="1" applyBorder="1"/>
    <xf numFmtId="20" fontId="16" fillId="17" borderId="14" xfId="0" applyNumberFormat="1" applyFont="1" applyFill="1" applyBorder="1" applyAlignment="1">
      <alignment vertical="center"/>
    </xf>
    <xf numFmtId="20" fontId="16" fillId="17" borderId="1" xfId="0" applyNumberFormat="1" applyFont="1" applyFill="1" applyBorder="1" applyAlignment="1">
      <alignment vertical="center"/>
    </xf>
    <xf numFmtId="20" fontId="16" fillId="17" borderId="13" xfId="0" applyNumberFormat="1" applyFont="1" applyFill="1" applyBorder="1" applyAlignment="1">
      <alignment vertical="center"/>
    </xf>
    <xf numFmtId="20" fontId="16" fillId="17" borderId="19" xfId="0" applyNumberFormat="1" applyFont="1" applyFill="1" applyBorder="1" applyAlignment="1">
      <alignment vertical="center"/>
    </xf>
    <xf numFmtId="0" fontId="8" fillId="17" borderId="0" xfId="0" applyFont="1" applyFill="1" applyAlignment="1">
      <alignment vertical="center"/>
    </xf>
    <xf numFmtId="20" fontId="45" fillId="17" borderId="14" xfId="0" applyNumberFormat="1" applyFont="1" applyFill="1" applyBorder="1" applyAlignment="1">
      <alignment vertical="center"/>
    </xf>
    <xf numFmtId="0" fontId="51" fillId="0" borderId="1" xfId="0" applyFont="1" applyBorder="1" applyAlignment="1">
      <alignment horizontal="center" textRotation="90" wrapText="1"/>
    </xf>
    <xf numFmtId="20" fontId="45" fillId="2" borderId="2" xfId="0" applyNumberFormat="1" applyFont="1" applyFill="1" applyBorder="1" applyAlignment="1">
      <alignment horizontal="center"/>
    </xf>
    <xf numFmtId="20" fontId="45" fillId="2" borderId="14" xfId="0" applyNumberFormat="1" applyFont="1" applyFill="1" applyBorder="1" applyAlignment="1">
      <alignment horizontal="center"/>
    </xf>
    <xf numFmtId="20" fontId="16" fillId="2" borderId="5" xfId="0" applyNumberFormat="1" applyFont="1" applyFill="1" applyBorder="1" applyAlignment="1">
      <alignment horizontal="center"/>
    </xf>
    <xf numFmtId="20" fontId="16" fillId="2" borderId="3" xfId="0" applyNumberFormat="1" applyFont="1" applyFill="1" applyBorder="1" applyAlignment="1">
      <alignment horizontal="center"/>
    </xf>
    <xf numFmtId="20" fontId="16" fillId="2" borderId="2" xfId="0" applyNumberFormat="1" applyFont="1" applyFill="1" applyBorder="1" applyAlignment="1">
      <alignment horizontal="center"/>
    </xf>
    <xf numFmtId="20" fontId="16" fillId="2" borderId="25" xfId="0" applyNumberFormat="1" applyFont="1" applyFill="1" applyBorder="1" applyAlignment="1">
      <alignment horizontal="center"/>
    </xf>
    <xf numFmtId="20" fontId="16" fillId="2" borderId="17" xfId="0" applyNumberFormat="1" applyFont="1" applyFill="1" applyBorder="1" applyAlignment="1">
      <alignment horizontal="center"/>
    </xf>
    <xf numFmtId="20" fontId="16" fillId="2" borderId="1" xfId="0" applyNumberFormat="1" applyFont="1" applyFill="1" applyBorder="1" applyAlignment="1">
      <alignment horizontal="center"/>
    </xf>
    <xf numFmtId="20" fontId="16" fillId="2" borderId="22" xfId="0" applyNumberFormat="1" applyFont="1" applyFill="1" applyBorder="1" applyAlignment="1">
      <alignment horizontal="center"/>
    </xf>
    <xf numFmtId="0" fontId="41" fillId="5" borderId="2" xfId="0" applyFont="1" applyFill="1" applyBorder="1" applyAlignment="1">
      <alignment horizontal="center" vertical="center"/>
    </xf>
    <xf numFmtId="20" fontId="52" fillId="2" borderId="2" xfId="0" applyNumberFormat="1" applyFont="1" applyFill="1" applyBorder="1" applyAlignment="1">
      <alignment horizontal="center" vertical="center"/>
    </xf>
    <xf numFmtId="0" fontId="41" fillId="2" borderId="2" xfId="0" applyFont="1" applyFill="1" applyBorder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0" fontId="41" fillId="2" borderId="0" xfId="0" applyFont="1" applyFill="1" applyAlignment="1">
      <alignment horizontal="center"/>
    </xf>
    <xf numFmtId="0" fontId="42" fillId="5" borderId="2" xfId="0" applyFont="1" applyFill="1" applyBorder="1" applyAlignment="1">
      <alignment horizontal="center" vertical="center"/>
    </xf>
    <xf numFmtId="20" fontId="52" fillId="2" borderId="2" xfId="0" applyNumberFormat="1" applyFont="1" applyFill="1" applyBorder="1" applyAlignment="1">
      <alignment horizontal="center" vertical="center" wrapText="1"/>
    </xf>
    <xf numFmtId="20" fontId="52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/>
    </xf>
    <xf numFmtId="0" fontId="41" fillId="5" borderId="1" xfId="0" applyFont="1" applyFill="1" applyBorder="1" applyAlignment="1">
      <alignment horizontal="center" vertical="center"/>
    </xf>
    <xf numFmtId="20" fontId="41" fillId="2" borderId="1" xfId="0" applyNumberFormat="1" applyFont="1" applyFill="1" applyBorder="1" applyAlignment="1">
      <alignment horizontal="center" vertical="center" wrapText="1"/>
    </xf>
    <xf numFmtId="20" fontId="52" fillId="2" borderId="1" xfId="0" applyNumberFormat="1" applyFont="1" applyFill="1" applyBorder="1" applyAlignment="1">
      <alignment horizontal="center" vertical="center"/>
    </xf>
    <xf numFmtId="0" fontId="41" fillId="2" borderId="0" xfId="0" applyFont="1" applyFill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/>
    </xf>
    <xf numFmtId="0" fontId="41" fillId="14" borderId="1" xfId="0" applyFont="1" applyFill="1" applyBorder="1" applyAlignment="1">
      <alignment horizontal="center" vertical="center"/>
    </xf>
    <xf numFmtId="20" fontId="52" fillId="14" borderId="1" xfId="0" applyNumberFormat="1" applyFont="1" applyFill="1" applyBorder="1" applyAlignment="1">
      <alignment horizontal="center"/>
    </xf>
    <xf numFmtId="20" fontId="52" fillId="2" borderId="5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20" fontId="52" fillId="2" borderId="5" xfId="0" applyNumberFormat="1" applyFont="1" applyFill="1" applyBorder="1" applyAlignment="1">
      <alignment horizontal="center" vertical="center"/>
    </xf>
    <xf numFmtId="0" fontId="41" fillId="2" borderId="13" xfId="0" applyFont="1" applyFill="1" applyBorder="1" applyAlignment="1">
      <alignment horizontal="center" vertical="center"/>
    </xf>
    <xf numFmtId="0" fontId="41" fillId="14" borderId="1" xfId="0" applyFont="1" applyFill="1" applyBorder="1" applyAlignment="1">
      <alignment horizontal="center" vertical="center" wrapText="1"/>
    </xf>
    <xf numFmtId="20" fontId="52" fillId="14" borderId="1" xfId="0" applyNumberFormat="1" applyFont="1" applyFill="1" applyBorder="1" applyAlignment="1">
      <alignment horizontal="center" vertical="center" wrapText="1"/>
    </xf>
    <xf numFmtId="0" fontId="41" fillId="11" borderId="1" xfId="0" applyFont="1" applyFill="1" applyBorder="1"/>
    <xf numFmtId="0" fontId="41" fillId="11" borderId="1" xfId="0" applyFont="1" applyFill="1" applyBorder="1" applyAlignment="1">
      <alignment horizontal="center" vertical="center"/>
    </xf>
    <xf numFmtId="0" fontId="53" fillId="2" borderId="13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 wrapText="1"/>
    </xf>
    <xf numFmtId="20" fontId="54" fillId="2" borderId="1" xfId="0" applyNumberFormat="1" applyFont="1" applyFill="1" applyBorder="1" applyAlignment="1">
      <alignment horizontal="center" vertical="center" wrapText="1"/>
    </xf>
    <xf numFmtId="0" fontId="42" fillId="2" borderId="0" xfId="0" applyFont="1" applyFill="1" applyAlignment="1">
      <alignment horizontal="center" vertical="center"/>
    </xf>
    <xf numFmtId="0" fontId="42" fillId="2" borderId="2" xfId="0" applyFont="1" applyFill="1" applyBorder="1" applyAlignment="1">
      <alignment horizontal="center" vertical="center"/>
    </xf>
    <xf numFmtId="0" fontId="41" fillId="14" borderId="3" xfId="0" applyFont="1" applyFill="1" applyBorder="1" applyAlignment="1">
      <alignment horizontal="center" vertical="center"/>
    </xf>
    <xf numFmtId="0" fontId="41" fillId="13" borderId="1" xfId="0" applyFont="1" applyFill="1" applyBorder="1" applyAlignment="1">
      <alignment horizontal="center" vertical="center"/>
    </xf>
    <xf numFmtId="0" fontId="41" fillId="16" borderId="1" xfId="0" applyFont="1" applyFill="1" applyBorder="1" applyAlignment="1">
      <alignment horizontal="center" vertical="center"/>
    </xf>
    <xf numFmtId="20" fontId="52" fillId="16" borderId="1" xfId="0" applyNumberFormat="1" applyFont="1" applyFill="1" applyBorder="1" applyAlignment="1">
      <alignment horizontal="center" vertical="center" wrapText="1"/>
    </xf>
    <xf numFmtId="20" fontId="52" fillId="16" borderId="1" xfId="0" applyNumberFormat="1" applyFont="1" applyFill="1" applyBorder="1" applyAlignment="1">
      <alignment horizontal="center" vertical="center"/>
    </xf>
    <xf numFmtId="0" fontId="52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26" fillId="2" borderId="21" xfId="0" applyFont="1" applyFill="1" applyBorder="1" applyAlignment="1">
      <alignment horizontal="center" vertical="center"/>
    </xf>
    <xf numFmtId="0" fontId="26" fillId="4" borderId="21" xfId="0" applyFont="1" applyFill="1" applyBorder="1" applyAlignment="1">
      <alignment horizontal="center" vertical="center"/>
    </xf>
    <xf numFmtId="0" fontId="47" fillId="0" borderId="21" xfId="0" applyFont="1" applyBorder="1"/>
    <xf numFmtId="0" fontId="26" fillId="15" borderId="21" xfId="0" applyFont="1" applyFill="1" applyBorder="1" applyAlignment="1">
      <alignment horizontal="center" vertical="center"/>
    </xf>
    <xf numFmtId="0" fontId="26" fillId="15" borderId="22" xfId="0" applyFont="1" applyFill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9" fillId="0" borderId="34" xfId="0" applyFont="1" applyBorder="1" applyAlignment="1">
      <alignment horizontal="left" vertical="center"/>
    </xf>
    <xf numFmtId="17" fontId="9" fillId="4" borderId="34" xfId="0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vertical="center"/>
    </xf>
    <xf numFmtId="49" fontId="57" fillId="0" borderId="1" xfId="68" applyNumberFormat="1" applyFont="1" applyBorder="1" applyAlignment="1" applyProtection="1">
      <alignment vertical="center"/>
      <protection locked="0"/>
    </xf>
    <xf numFmtId="49" fontId="57" fillId="0" borderId="1" xfId="69" applyNumberFormat="1" applyFont="1" applyBorder="1" applyAlignment="1">
      <alignment vertical="center"/>
    </xf>
    <xf numFmtId="49" fontId="57" fillId="0" borderId="1" xfId="69" applyNumberFormat="1" applyFont="1" applyBorder="1" applyAlignment="1">
      <alignment horizontal="left" vertical="center"/>
    </xf>
    <xf numFmtId="49" fontId="57" fillId="2" borderId="1" xfId="69" applyNumberFormat="1" applyFont="1" applyFill="1" applyBorder="1" applyAlignment="1">
      <alignment vertical="center"/>
    </xf>
    <xf numFmtId="0" fontId="57" fillId="0" borderId="1" xfId="69" applyFont="1" applyBorder="1" applyAlignment="1">
      <alignment vertical="center"/>
    </xf>
    <xf numFmtId="0" fontId="57" fillId="0" borderId="1" xfId="69" applyFont="1" applyBorder="1" applyAlignment="1">
      <alignment horizontal="left" vertical="center"/>
    </xf>
    <xf numFmtId="0" fontId="57" fillId="0" borderId="1" xfId="0" applyFont="1" applyBorder="1" applyAlignment="1">
      <alignment horizontal="left" vertical="center"/>
    </xf>
    <xf numFmtId="0" fontId="23" fillId="0" borderId="1" xfId="0" applyFont="1" applyBorder="1" applyAlignment="1">
      <alignment horizontal="center" vertical="center"/>
    </xf>
    <xf numFmtId="0" fontId="57" fillId="0" borderId="34" xfId="0" applyFont="1" applyBorder="1" applyAlignment="1">
      <alignment horizontal="left" vertical="center"/>
    </xf>
    <xf numFmtId="0" fontId="56" fillId="2" borderId="1" xfId="0" applyFont="1" applyFill="1" applyBorder="1" applyAlignment="1">
      <alignment horizontal="center" vertical="center"/>
    </xf>
    <xf numFmtId="49" fontId="23" fillId="0" borderId="1" xfId="0" applyNumberFormat="1" applyFont="1" applyBorder="1" applyAlignment="1">
      <alignment horizontal="left" vertical="center"/>
    </xf>
    <xf numFmtId="0" fontId="15" fillId="0" borderId="0" xfId="0" applyFont="1"/>
    <xf numFmtId="0" fontId="58" fillId="0" borderId="1" xfId="70" applyFont="1" applyBorder="1" applyAlignment="1">
      <alignment horizontal="left" vertical="center"/>
    </xf>
    <xf numFmtId="0" fontId="59" fillId="2" borderId="1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0" fontId="48" fillId="4" borderId="13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15" fillId="0" borderId="17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13" borderId="18" xfId="0" applyFont="1" applyFill="1" applyBorder="1" applyAlignment="1">
      <alignment horizontal="center" wrapText="1"/>
    </xf>
    <xf numFmtId="0" fontId="15" fillId="13" borderId="19" xfId="0" applyFont="1" applyFill="1" applyBorder="1" applyAlignment="1">
      <alignment horizontal="center" wrapText="1"/>
    </xf>
    <xf numFmtId="0" fontId="41" fillId="2" borderId="17" xfId="0" applyFont="1" applyFill="1" applyBorder="1" applyAlignment="1">
      <alignment horizontal="center" vertical="center" wrapText="1"/>
    </xf>
    <xf numFmtId="0" fontId="41" fillId="2" borderId="19" xfId="0" applyFont="1" applyFill="1" applyBorder="1" applyAlignment="1">
      <alignment horizontal="center" vertical="center" wrapText="1"/>
    </xf>
    <xf numFmtId="0" fontId="41" fillId="2" borderId="21" xfId="0" applyFont="1" applyFill="1" applyBorder="1" applyAlignment="1">
      <alignment horizontal="center" vertical="center" wrapText="1"/>
    </xf>
    <xf numFmtId="0" fontId="41" fillId="2" borderId="31" xfId="0" applyFont="1" applyFill="1" applyBorder="1" applyAlignment="1">
      <alignment horizontal="center" vertical="center" wrapText="1"/>
    </xf>
    <xf numFmtId="0" fontId="41" fillId="2" borderId="22" xfId="0" applyFont="1" applyFill="1" applyBorder="1" applyAlignment="1">
      <alignment horizontal="center" vertical="center" wrapText="1"/>
    </xf>
    <xf numFmtId="0" fontId="41" fillId="2" borderId="20" xfId="0" applyFont="1" applyFill="1" applyBorder="1" applyAlignment="1">
      <alignment horizontal="center" vertical="center" wrapText="1"/>
    </xf>
    <xf numFmtId="0" fontId="41" fillId="16" borderId="21" xfId="0" applyFont="1" applyFill="1" applyBorder="1" applyAlignment="1">
      <alignment horizontal="center" vertical="center" wrapText="1"/>
    </xf>
    <xf numFmtId="0" fontId="41" fillId="16" borderId="0" xfId="0" applyFont="1" applyFill="1" applyAlignment="1">
      <alignment horizontal="center" vertical="center" wrapText="1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5" fillId="11" borderId="1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41" fillId="2" borderId="0" xfId="0" applyFont="1" applyFill="1" applyAlignment="1">
      <alignment horizontal="center" vertical="center" wrapText="1"/>
    </xf>
    <xf numFmtId="0" fontId="37" fillId="2" borderId="7" xfId="0" applyFont="1" applyFill="1" applyBorder="1" applyAlignment="1">
      <alignment horizontal="center" vertical="center" wrapText="1"/>
    </xf>
    <xf numFmtId="0" fontId="37" fillId="2" borderId="8" xfId="0" applyFont="1" applyFill="1" applyBorder="1" applyAlignment="1">
      <alignment horizontal="center" vertical="center" wrapText="1"/>
    </xf>
    <xf numFmtId="0" fontId="37" fillId="2" borderId="9" xfId="0" applyFont="1" applyFill="1" applyBorder="1" applyAlignment="1">
      <alignment horizontal="center" vertical="center" wrapText="1"/>
    </xf>
    <xf numFmtId="0" fontId="37" fillId="2" borderId="10" xfId="0" applyFont="1" applyFill="1" applyBorder="1" applyAlignment="1">
      <alignment horizontal="center" vertical="center" wrapText="1"/>
    </xf>
    <xf numFmtId="0" fontId="37" fillId="2" borderId="11" xfId="0" applyFont="1" applyFill="1" applyBorder="1" applyAlignment="1">
      <alignment horizontal="center" vertical="center" wrapText="1"/>
    </xf>
    <xf numFmtId="0" fontId="37" fillId="2" borderId="12" xfId="0" applyFont="1" applyFill="1" applyBorder="1" applyAlignment="1">
      <alignment horizontal="center" vertical="center" wrapText="1"/>
    </xf>
    <xf numFmtId="0" fontId="55" fillId="2" borderId="17" xfId="0" applyFont="1" applyFill="1" applyBorder="1" applyAlignment="1">
      <alignment horizontal="center" vertical="center" wrapText="1"/>
    </xf>
    <xf numFmtId="0" fontId="55" fillId="2" borderId="19" xfId="0" applyFont="1" applyFill="1" applyBorder="1" applyAlignment="1">
      <alignment horizontal="center" vertical="center" wrapText="1"/>
    </xf>
    <xf numFmtId="0" fontId="55" fillId="2" borderId="21" xfId="0" applyFont="1" applyFill="1" applyBorder="1" applyAlignment="1">
      <alignment horizontal="center" vertical="center" wrapText="1"/>
    </xf>
    <xf numFmtId="0" fontId="55" fillId="2" borderId="31" xfId="0" applyFont="1" applyFill="1" applyBorder="1" applyAlignment="1">
      <alignment horizontal="center" vertical="center" wrapText="1"/>
    </xf>
    <xf numFmtId="0" fontId="55" fillId="2" borderId="22" xfId="0" applyFont="1" applyFill="1" applyBorder="1" applyAlignment="1">
      <alignment horizontal="center" vertical="center" wrapText="1"/>
    </xf>
    <xf numFmtId="0" fontId="55" fillId="2" borderId="20" xfId="0" applyFont="1" applyFill="1" applyBorder="1" applyAlignment="1">
      <alignment horizontal="center" vertical="center" wrapText="1"/>
    </xf>
    <xf numFmtId="0" fontId="6" fillId="2" borderId="31" xfId="0" applyFont="1" applyFill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40" fillId="13" borderId="3" xfId="0" applyFont="1" applyFill="1" applyBorder="1" applyAlignment="1">
      <alignment horizontal="center" vertical="center"/>
    </xf>
    <xf numFmtId="0" fontId="40" fillId="13" borderId="4" xfId="0" applyFont="1" applyFill="1" applyBorder="1" applyAlignment="1">
      <alignment horizontal="center" vertical="center"/>
    </xf>
    <xf numFmtId="0" fontId="40" fillId="13" borderId="14" xfId="0" applyFont="1" applyFill="1" applyBorder="1" applyAlignment="1">
      <alignment horizontal="center" vertical="center"/>
    </xf>
    <xf numFmtId="0" fontId="26" fillId="4" borderId="17" xfId="0" applyFont="1" applyFill="1" applyBorder="1" applyAlignment="1">
      <alignment horizontal="center" vertical="center"/>
    </xf>
    <xf numFmtId="0" fontId="26" fillId="4" borderId="18" xfId="0" applyFont="1" applyFill="1" applyBorder="1" applyAlignment="1">
      <alignment horizontal="center" vertical="center"/>
    </xf>
    <xf numFmtId="0" fontId="26" fillId="4" borderId="19" xfId="0" applyFont="1" applyFill="1" applyBorder="1" applyAlignment="1">
      <alignment horizontal="center" vertical="center"/>
    </xf>
    <xf numFmtId="0" fontId="32" fillId="2" borderId="7" xfId="0" applyFont="1" applyFill="1" applyBorder="1" applyAlignment="1">
      <alignment horizontal="center" vertical="center"/>
    </xf>
    <xf numFmtId="0" fontId="32" fillId="2" borderId="8" xfId="0" applyFont="1" applyFill="1" applyBorder="1" applyAlignment="1">
      <alignment horizontal="center" vertical="center"/>
    </xf>
    <xf numFmtId="0" fontId="32" fillId="2" borderId="9" xfId="0" applyFont="1" applyFill="1" applyBorder="1" applyAlignment="1">
      <alignment horizontal="center" vertical="center"/>
    </xf>
    <xf numFmtId="0" fontId="32" fillId="2" borderId="10" xfId="0" applyFont="1" applyFill="1" applyBorder="1" applyAlignment="1">
      <alignment horizontal="center" vertical="center"/>
    </xf>
    <xf numFmtId="0" fontId="32" fillId="2" borderId="11" xfId="0" applyFont="1" applyFill="1" applyBorder="1" applyAlignment="1">
      <alignment horizontal="center" vertical="center"/>
    </xf>
    <xf numFmtId="0" fontId="32" fillId="2" borderId="12" xfId="0" applyFont="1" applyFill="1" applyBorder="1" applyAlignment="1">
      <alignment horizontal="center" vertical="center"/>
    </xf>
    <xf numFmtId="0" fontId="37" fillId="2" borderId="3" xfId="0" applyFont="1" applyFill="1" applyBorder="1" applyAlignment="1">
      <alignment horizontal="center" vertical="center"/>
    </xf>
    <xf numFmtId="0" fontId="37" fillId="2" borderId="4" xfId="0" applyFont="1" applyFill="1" applyBorder="1" applyAlignment="1">
      <alignment horizontal="center" vertical="center"/>
    </xf>
    <xf numFmtId="0" fontId="37" fillId="2" borderId="14" xfId="0" applyFont="1" applyFill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56" fillId="12" borderId="35" xfId="0" applyFont="1" applyFill="1" applyBorder="1" applyAlignment="1">
      <alignment horizontal="center" vertical="center"/>
    </xf>
    <xf numFmtId="0" fontId="56" fillId="20" borderId="35" xfId="0" applyFont="1" applyFill="1" applyBorder="1" applyAlignment="1">
      <alignment horizontal="center" vertical="center"/>
    </xf>
    <xf numFmtId="0" fontId="26" fillId="19" borderId="35" xfId="0" applyFont="1" applyFill="1" applyBorder="1" applyAlignment="1">
      <alignment horizontal="center" vertical="center"/>
    </xf>
    <xf numFmtId="0" fontId="26" fillId="21" borderId="35" xfId="0" applyFont="1" applyFill="1" applyBorder="1" applyAlignment="1">
      <alignment horizontal="center" vertical="center"/>
    </xf>
    <xf numFmtId="0" fontId="60" fillId="2" borderId="35" xfId="0" applyFont="1" applyFill="1" applyBorder="1" applyAlignment="1">
      <alignment horizontal="center" vertical="center"/>
    </xf>
    <xf numFmtId="0" fontId="48" fillId="11" borderId="35" xfId="0" applyFont="1" applyFill="1" applyBorder="1" applyAlignment="1">
      <alignment horizontal="center" vertical="center"/>
    </xf>
    <xf numFmtId="0" fontId="56" fillId="22" borderId="35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6" fillId="22" borderId="35" xfId="0" applyFont="1" applyFill="1" applyBorder="1" applyAlignment="1">
      <alignment horizontal="center" vertical="center"/>
    </xf>
    <xf numFmtId="0" fontId="60" fillId="0" borderId="35" xfId="0" applyFont="1" applyBorder="1" applyAlignment="1">
      <alignment horizontal="center" vertical="center"/>
    </xf>
    <xf numFmtId="0" fontId="48" fillId="0" borderId="35" xfId="0" applyFont="1" applyBorder="1" applyAlignment="1">
      <alignment horizontal="center" vertical="center"/>
    </xf>
    <xf numFmtId="0" fontId="56" fillId="23" borderId="35" xfId="0" applyFont="1" applyFill="1" applyBorder="1" applyAlignment="1">
      <alignment horizontal="center" vertical="center"/>
    </xf>
    <xf numFmtId="0" fontId="26" fillId="5" borderId="35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56" fillId="23" borderId="1" xfId="0" applyFont="1" applyFill="1" applyBorder="1" applyAlignment="1">
      <alignment horizontal="center" vertical="center"/>
    </xf>
  </cellXfs>
  <cellStyles count="614">
    <cellStyle name="Buena 2" xfId="4" xr:uid="{00000000-0005-0000-0000-000000000000}"/>
    <cellStyle name="Buena 2 2" xfId="149" xr:uid="{00000000-0005-0000-0000-000001000000}"/>
    <cellStyle name="Buena 2 3" xfId="215" xr:uid="{00000000-0005-0000-0000-000002000000}"/>
    <cellStyle name="Buena 2 4" xfId="280" xr:uid="{00000000-0005-0000-0000-000003000000}"/>
    <cellStyle name="Buena 2 5" xfId="346" xr:uid="{00000000-0005-0000-0000-000004000000}"/>
    <cellStyle name="Buena 2 6" xfId="411" xr:uid="{00000000-0005-0000-0000-000005000000}"/>
    <cellStyle name="Buena 2 7" xfId="476" xr:uid="{00000000-0005-0000-0000-000006000000}"/>
    <cellStyle name="Buena 2 8" xfId="543" xr:uid="{00000000-0005-0000-0000-000007000000}"/>
    <cellStyle name="Buena 2 9" xfId="82" xr:uid="{00000000-0005-0000-0000-000008000000}"/>
    <cellStyle name="Excel Built-in Normal" xfId="2" xr:uid="{00000000-0005-0000-0000-000009000000}"/>
    <cellStyle name="Excel Built-in Normal 10" xfId="76" xr:uid="{00000000-0005-0000-0000-00000A000000}"/>
    <cellStyle name="Excel Built-in Normal 11" xfId="542" xr:uid="{00000000-0005-0000-0000-00000B000000}"/>
    <cellStyle name="Excel Built-in Normal 12" xfId="81" xr:uid="{00000000-0005-0000-0000-00000C000000}"/>
    <cellStyle name="Excel Built-in Normal 2" xfId="43" xr:uid="{00000000-0005-0000-0000-00000D000000}"/>
    <cellStyle name="Excel Built-in Normal 2 2" xfId="188" xr:uid="{00000000-0005-0000-0000-00000E000000}"/>
    <cellStyle name="Excel Built-in Normal 2 3" xfId="254" xr:uid="{00000000-0005-0000-0000-00000F000000}"/>
    <cellStyle name="Excel Built-in Normal 2 4" xfId="319" xr:uid="{00000000-0005-0000-0000-000010000000}"/>
    <cellStyle name="Excel Built-in Normal 2 5" xfId="385" xr:uid="{00000000-0005-0000-0000-000011000000}"/>
    <cellStyle name="Excel Built-in Normal 2 6" xfId="450" xr:uid="{00000000-0005-0000-0000-000012000000}"/>
    <cellStyle name="Excel Built-in Normal 2 7" xfId="515" xr:uid="{00000000-0005-0000-0000-000013000000}"/>
    <cellStyle name="Excel Built-in Normal 2 8" xfId="582" xr:uid="{00000000-0005-0000-0000-000014000000}"/>
    <cellStyle name="Excel Built-in Normal 2 9" xfId="121" xr:uid="{00000000-0005-0000-0000-000015000000}"/>
    <cellStyle name="Excel Built-in Normal 3" xfId="148" xr:uid="{00000000-0005-0000-0000-000016000000}"/>
    <cellStyle name="Excel Built-in Normal 4" xfId="214" xr:uid="{00000000-0005-0000-0000-000017000000}"/>
    <cellStyle name="Excel Built-in Normal 5" xfId="279" xr:uid="{00000000-0005-0000-0000-000018000000}"/>
    <cellStyle name="Excel Built-in Normal 6" xfId="345" xr:uid="{00000000-0005-0000-0000-000019000000}"/>
    <cellStyle name="Excel Built-in Normal 7" xfId="410" xr:uid="{00000000-0005-0000-0000-00001A000000}"/>
    <cellStyle name="Excel Built-in Normal 8" xfId="44" xr:uid="{00000000-0005-0000-0000-00001B000000}"/>
    <cellStyle name="Excel Built-in Normal 8 2" xfId="189" xr:uid="{00000000-0005-0000-0000-00001C000000}"/>
    <cellStyle name="Excel Built-in Normal 8 3" xfId="255" xr:uid="{00000000-0005-0000-0000-00001D000000}"/>
    <cellStyle name="Excel Built-in Normal 8 4" xfId="320" xr:uid="{00000000-0005-0000-0000-00001E000000}"/>
    <cellStyle name="Excel Built-in Normal 8 5" xfId="386" xr:uid="{00000000-0005-0000-0000-00001F000000}"/>
    <cellStyle name="Excel Built-in Normal 8 6" xfId="451" xr:uid="{00000000-0005-0000-0000-000020000000}"/>
    <cellStyle name="Excel Built-in Normal 8 7" xfId="516" xr:uid="{00000000-0005-0000-0000-000021000000}"/>
    <cellStyle name="Excel Built-in Normal 8 8" xfId="583" xr:uid="{00000000-0005-0000-0000-000022000000}"/>
    <cellStyle name="Excel Built-in Normal 8 9" xfId="122" xr:uid="{00000000-0005-0000-0000-000023000000}"/>
    <cellStyle name="Excel Built-in Normal 9" xfId="45" xr:uid="{00000000-0005-0000-0000-000024000000}"/>
    <cellStyle name="Excel Built-in Normal 9 2" xfId="190" xr:uid="{00000000-0005-0000-0000-000025000000}"/>
    <cellStyle name="Excel Built-in Normal 9 3" xfId="256" xr:uid="{00000000-0005-0000-0000-000026000000}"/>
    <cellStyle name="Excel Built-in Normal 9 4" xfId="321" xr:uid="{00000000-0005-0000-0000-000027000000}"/>
    <cellStyle name="Excel Built-in Normal 9 5" xfId="387" xr:uid="{00000000-0005-0000-0000-000028000000}"/>
    <cellStyle name="Excel Built-in Normal 9 6" xfId="452" xr:uid="{00000000-0005-0000-0000-000029000000}"/>
    <cellStyle name="Excel Built-in Normal 9 7" xfId="517" xr:uid="{00000000-0005-0000-0000-00002A000000}"/>
    <cellStyle name="Excel Built-in Normal 9 8" xfId="584" xr:uid="{00000000-0005-0000-0000-00002B000000}"/>
    <cellStyle name="Excel Built-in Normal 9 9" xfId="123" xr:uid="{00000000-0005-0000-0000-00002C000000}"/>
    <cellStyle name="Millares" xfId="613" builtinId="3"/>
    <cellStyle name="Normal" xfId="0" builtinId="0"/>
    <cellStyle name="Normal 10" xfId="59" xr:uid="{00000000-0005-0000-0000-00002E000000}"/>
    <cellStyle name="Normal 10 2" xfId="203" xr:uid="{00000000-0005-0000-0000-00002F000000}"/>
    <cellStyle name="Normal 10 3" xfId="269" xr:uid="{00000000-0005-0000-0000-000030000000}"/>
    <cellStyle name="Normal 10 4" xfId="334" xr:uid="{00000000-0005-0000-0000-000031000000}"/>
    <cellStyle name="Normal 10 5" xfId="400" xr:uid="{00000000-0005-0000-0000-000032000000}"/>
    <cellStyle name="Normal 10 6" xfId="465" xr:uid="{00000000-0005-0000-0000-000033000000}"/>
    <cellStyle name="Normal 10 7" xfId="530" xr:uid="{00000000-0005-0000-0000-000034000000}"/>
    <cellStyle name="Normal 10 8" xfId="597" xr:uid="{00000000-0005-0000-0000-000035000000}"/>
    <cellStyle name="Normal 10 9" xfId="137" xr:uid="{00000000-0005-0000-0000-000036000000}"/>
    <cellStyle name="Normal 11" xfId="72" xr:uid="{00000000-0005-0000-0000-000037000000}"/>
    <cellStyle name="Normal 12" xfId="75" xr:uid="{00000000-0005-0000-0000-000038000000}"/>
    <cellStyle name="Normal 13" xfId="70" xr:uid="{00000000-0005-0000-0000-000039000000}"/>
    <cellStyle name="Normal 14" xfId="73" xr:uid="{00000000-0005-0000-0000-00003A000000}"/>
    <cellStyle name="Normal 15" xfId="69" xr:uid="{00000000-0005-0000-0000-00003B000000}"/>
    <cellStyle name="Normal 16" xfId="74" xr:uid="{00000000-0005-0000-0000-00003C000000}"/>
    <cellStyle name="Normal 17" xfId="539" xr:uid="{00000000-0005-0000-0000-00003D000000}"/>
    <cellStyle name="Normal 18" xfId="606" xr:uid="{00000000-0005-0000-0000-00003E000000}"/>
    <cellStyle name="Normal 19" xfId="78" xr:uid="{00000000-0005-0000-0000-00003F000000}"/>
    <cellStyle name="Normal 19 2" xfId="610" xr:uid="{B6940B23-DF90-4C76-8427-515B0A526A28}"/>
    <cellStyle name="Normal 2" xfId="1" xr:uid="{00000000-0005-0000-0000-000040000000}"/>
    <cellStyle name="Normal 2 10" xfId="16" xr:uid="{00000000-0005-0000-0000-000041000000}"/>
    <cellStyle name="Normal 2 10 2" xfId="161" xr:uid="{00000000-0005-0000-0000-000042000000}"/>
    <cellStyle name="Normal 2 10 3" xfId="227" xr:uid="{00000000-0005-0000-0000-000043000000}"/>
    <cellStyle name="Normal 2 10 4" xfId="292" xr:uid="{00000000-0005-0000-0000-000044000000}"/>
    <cellStyle name="Normal 2 10 5" xfId="358" xr:uid="{00000000-0005-0000-0000-000045000000}"/>
    <cellStyle name="Normal 2 10 6" xfId="423" xr:uid="{00000000-0005-0000-0000-000046000000}"/>
    <cellStyle name="Normal 2 10 7" xfId="488" xr:uid="{00000000-0005-0000-0000-000047000000}"/>
    <cellStyle name="Normal 2 10 8" xfId="555" xr:uid="{00000000-0005-0000-0000-000048000000}"/>
    <cellStyle name="Normal 2 10 9" xfId="94" xr:uid="{00000000-0005-0000-0000-000049000000}"/>
    <cellStyle name="Normal 2 11" xfId="17" xr:uid="{00000000-0005-0000-0000-00004A000000}"/>
    <cellStyle name="Normal 2 11 2" xfId="162" xr:uid="{00000000-0005-0000-0000-00004B000000}"/>
    <cellStyle name="Normal 2 11 3" xfId="228" xr:uid="{00000000-0005-0000-0000-00004C000000}"/>
    <cellStyle name="Normal 2 11 4" xfId="293" xr:uid="{00000000-0005-0000-0000-00004D000000}"/>
    <cellStyle name="Normal 2 11 5" xfId="359" xr:uid="{00000000-0005-0000-0000-00004E000000}"/>
    <cellStyle name="Normal 2 11 6" xfId="424" xr:uid="{00000000-0005-0000-0000-00004F000000}"/>
    <cellStyle name="Normal 2 11 7" xfId="489" xr:uid="{00000000-0005-0000-0000-000050000000}"/>
    <cellStyle name="Normal 2 11 8" xfId="556" xr:uid="{00000000-0005-0000-0000-000051000000}"/>
    <cellStyle name="Normal 2 11 9" xfId="95" xr:uid="{00000000-0005-0000-0000-000052000000}"/>
    <cellStyle name="Normal 2 12" xfId="18" xr:uid="{00000000-0005-0000-0000-000053000000}"/>
    <cellStyle name="Normal 2 12 2" xfId="163" xr:uid="{00000000-0005-0000-0000-000054000000}"/>
    <cellStyle name="Normal 2 12 3" xfId="229" xr:uid="{00000000-0005-0000-0000-000055000000}"/>
    <cellStyle name="Normal 2 12 4" xfId="294" xr:uid="{00000000-0005-0000-0000-000056000000}"/>
    <cellStyle name="Normal 2 12 5" xfId="360" xr:uid="{00000000-0005-0000-0000-000057000000}"/>
    <cellStyle name="Normal 2 12 6" xfId="425" xr:uid="{00000000-0005-0000-0000-000058000000}"/>
    <cellStyle name="Normal 2 12 7" xfId="490" xr:uid="{00000000-0005-0000-0000-000059000000}"/>
    <cellStyle name="Normal 2 12 8" xfId="557" xr:uid="{00000000-0005-0000-0000-00005A000000}"/>
    <cellStyle name="Normal 2 12 9" xfId="96" xr:uid="{00000000-0005-0000-0000-00005B000000}"/>
    <cellStyle name="Normal 2 13" xfId="19" xr:uid="{00000000-0005-0000-0000-00005C000000}"/>
    <cellStyle name="Normal 2 13 2" xfId="164" xr:uid="{00000000-0005-0000-0000-00005D000000}"/>
    <cellStyle name="Normal 2 13 3" xfId="230" xr:uid="{00000000-0005-0000-0000-00005E000000}"/>
    <cellStyle name="Normal 2 13 4" xfId="295" xr:uid="{00000000-0005-0000-0000-00005F000000}"/>
    <cellStyle name="Normal 2 13 5" xfId="361" xr:uid="{00000000-0005-0000-0000-000060000000}"/>
    <cellStyle name="Normal 2 13 6" xfId="426" xr:uid="{00000000-0005-0000-0000-000061000000}"/>
    <cellStyle name="Normal 2 13 7" xfId="491" xr:uid="{00000000-0005-0000-0000-000062000000}"/>
    <cellStyle name="Normal 2 13 8" xfId="558" xr:uid="{00000000-0005-0000-0000-000063000000}"/>
    <cellStyle name="Normal 2 13 9" xfId="97" xr:uid="{00000000-0005-0000-0000-000064000000}"/>
    <cellStyle name="Normal 2 14" xfId="20" xr:uid="{00000000-0005-0000-0000-000065000000}"/>
    <cellStyle name="Normal 2 14 2" xfId="165" xr:uid="{00000000-0005-0000-0000-000066000000}"/>
    <cellStyle name="Normal 2 14 3" xfId="231" xr:uid="{00000000-0005-0000-0000-000067000000}"/>
    <cellStyle name="Normal 2 14 4" xfId="296" xr:uid="{00000000-0005-0000-0000-000068000000}"/>
    <cellStyle name="Normal 2 14 5" xfId="362" xr:uid="{00000000-0005-0000-0000-000069000000}"/>
    <cellStyle name="Normal 2 14 6" xfId="427" xr:uid="{00000000-0005-0000-0000-00006A000000}"/>
    <cellStyle name="Normal 2 14 7" xfId="492" xr:uid="{00000000-0005-0000-0000-00006B000000}"/>
    <cellStyle name="Normal 2 14 8" xfId="559" xr:uid="{00000000-0005-0000-0000-00006C000000}"/>
    <cellStyle name="Normal 2 14 9" xfId="98" xr:uid="{00000000-0005-0000-0000-00006D000000}"/>
    <cellStyle name="Normal 2 15" xfId="21" xr:uid="{00000000-0005-0000-0000-00006E000000}"/>
    <cellStyle name="Normal 2 15 2" xfId="166" xr:uid="{00000000-0005-0000-0000-00006F000000}"/>
    <cellStyle name="Normal 2 15 3" xfId="232" xr:uid="{00000000-0005-0000-0000-000070000000}"/>
    <cellStyle name="Normal 2 15 4" xfId="297" xr:uid="{00000000-0005-0000-0000-000071000000}"/>
    <cellStyle name="Normal 2 15 5" xfId="363" xr:uid="{00000000-0005-0000-0000-000072000000}"/>
    <cellStyle name="Normal 2 15 6" xfId="428" xr:uid="{00000000-0005-0000-0000-000073000000}"/>
    <cellStyle name="Normal 2 15 7" xfId="493" xr:uid="{00000000-0005-0000-0000-000074000000}"/>
    <cellStyle name="Normal 2 15 8" xfId="560" xr:uid="{00000000-0005-0000-0000-000075000000}"/>
    <cellStyle name="Normal 2 15 9" xfId="99" xr:uid="{00000000-0005-0000-0000-000076000000}"/>
    <cellStyle name="Normal 2 16" xfId="22" xr:uid="{00000000-0005-0000-0000-000077000000}"/>
    <cellStyle name="Normal 2 16 2" xfId="167" xr:uid="{00000000-0005-0000-0000-000078000000}"/>
    <cellStyle name="Normal 2 16 3" xfId="233" xr:uid="{00000000-0005-0000-0000-000079000000}"/>
    <cellStyle name="Normal 2 16 4" xfId="298" xr:uid="{00000000-0005-0000-0000-00007A000000}"/>
    <cellStyle name="Normal 2 16 5" xfId="364" xr:uid="{00000000-0005-0000-0000-00007B000000}"/>
    <cellStyle name="Normal 2 16 6" xfId="429" xr:uid="{00000000-0005-0000-0000-00007C000000}"/>
    <cellStyle name="Normal 2 16 7" xfId="494" xr:uid="{00000000-0005-0000-0000-00007D000000}"/>
    <cellStyle name="Normal 2 16 8" xfId="561" xr:uid="{00000000-0005-0000-0000-00007E000000}"/>
    <cellStyle name="Normal 2 16 9" xfId="100" xr:uid="{00000000-0005-0000-0000-00007F000000}"/>
    <cellStyle name="Normal 2 17" xfId="23" xr:uid="{00000000-0005-0000-0000-000080000000}"/>
    <cellStyle name="Normal 2 17 2" xfId="168" xr:uid="{00000000-0005-0000-0000-000081000000}"/>
    <cellStyle name="Normal 2 17 3" xfId="234" xr:uid="{00000000-0005-0000-0000-000082000000}"/>
    <cellStyle name="Normal 2 17 4" xfId="299" xr:uid="{00000000-0005-0000-0000-000083000000}"/>
    <cellStyle name="Normal 2 17 5" xfId="365" xr:uid="{00000000-0005-0000-0000-000084000000}"/>
    <cellStyle name="Normal 2 17 6" xfId="430" xr:uid="{00000000-0005-0000-0000-000085000000}"/>
    <cellStyle name="Normal 2 17 7" xfId="495" xr:uid="{00000000-0005-0000-0000-000086000000}"/>
    <cellStyle name="Normal 2 17 8" xfId="562" xr:uid="{00000000-0005-0000-0000-000087000000}"/>
    <cellStyle name="Normal 2 17 9" xfId="101" xr:uid="{00000000-0005-0000-0000-000088000000}"/>
    <cellStyle name="Normal 2 18" xfId="24" xr:uid="{00000000-0005-0000-0000-000089000000}"/>
    <cellStyle name="Normal 2 18 2" xfId="169" xr:uid="{00000000-0005-0000-0000-00008A000000}"/>
    <cellStyle name="Normal 2 18 3" xfId="235" xr:uid="{00000000-0005-0000-0000-00008B000000}"/>
    <cellStyle name="Normal 2 18 4" xfId="300" xr:uid="{00000000-0005-0000-0000-00008C000000}"/>
    <cellStyle name="Normal 2 18 5" xfId="366" xr:uid="{00000000-0005-0000-0000-00008D000000}"/>
    <cellStyle name="Normal 2 18 6" xfId="431" xr:uid="{00000000-0005-0000-0000-00008E000000}"/>
    <cellStyle name="Normal 2 18 7" xfId="496" xr:uid="{00000000-0005-0000-0000-00008F000000}"/>
    <cellStyle name="Normal 2 18 8" xfId="563" xr:uid="{00000000-0005-0000-0000-000090000000}"/>
    <cellStyle name="Normal 2 18 9" xfId="102" xr:uid="{00000000-0005-0000-0000-000091000000}"/>
    <cellStyle name="Normal 2 19" xfId="25" xr:uid="{00000000-0005-0000-0000-000092000000}"/>
    <cellStyle name="Normal 2 19 2" xfId="170" xr:uid="{00000000-0005-0000-0000-000093000000}"/>
    <cellStyle name="Normal 2 19 3" xfId="236" xr:uid="{00000000-0005-0000-0000-000094000000}"/>
    <cellStyle name="Normal 2 19 4" xfId="301" xr:uid="{00000000-0005-0000-0000-000095000000}"/>
    <cellStyle name="Normal 2 19 5" xfId="367" xr:uid="{00000000-0005-0000-0000-000096000000}"/>
    <cellStyle name="Normal 2 19 6" xfId="432" xr:uid="{00000000-0005-0000-0000-000097000000}"/>
    <cellStyle name="Normal 2 19 7" xfId="497" xr:uid="{00000000-0005-0000-0000-000098000000}"/>
    <cellStyle name="Normal 2 19 8" xfId="564" xr:uid="{00000000-0005-0000-0000-000099000000}"/>
    <cellStyle name="Normal 2 19 9" xfId="103" xr:uid="{00000000-0005-0000-0000-00009A000000}"/>
    <cellStyle name="Normal 2 2" xfId="5" xr:uid="{00000000-0005-0000-0000-00009B000000}"/>
    <cellStyle name="Normal 2 2 2" xfId="150" xr:uid="{00000000-0005-0000-0000-00009C000000}"/>
    <cellStyle name="Normal 2 2 3" xfId="216" xr:uid="{00000000-0005-0000-0000-00009D000000}"/>
    <cellStyle name="Normal 2 2 4" xfId="281" xr:uid="{00000000-0005-0000-0000-00009E000000}"/>
    <cellStyle name="Normal 2 2 5" xfId="347" xr:uid="{00000000-0005-0000-0000-00009F000000}"/>
    <cellStyle name="Normal 2 2 6" xfId="412" xr:uid="{00000000-0005-0000-0000-0000A0000000}"/>
    <cellStyle name="Normal 2 2 7" xfId="477" xr:uid="{00000000-0005-0000-0000-0000A1000000}"/>
    <cellStyle name="Normal 2 2 8" xfId="544" xr:uid="{00000000-0005-0000-0000-0000A2000000}"/>
    <cellStyle name="Normal 2 2 9" xfId="83" xr:uid="{00000000-0005-0000-0000-0000A3000000}"/>
    <cellStyle name="Normal 2 20" xfId="26" xr:uid="{00000000-0005-0000-0000-0000A4000000}"/>
    <cellStyle name="Normal 2 20 2" xfId="171" xr:uid="{00000000-0005-0000-0000-0000A5000000}"/>
    <cellStyle name="Normal 2 20 3" xfId="237" xr:uid="{00000000-0005-0000-0000-0000A6000000}"/>
    <cellStyle name="Normal 2 20 4" xfId="302" xr:uid="{00000000-0005-0000-0000-0000A7000000}"/>
    <cellStyle name="Normal 2 20 5" xfId="368" xr:uid="{00000000-0005-0000-0000-0000A8000000}"/>
    <cellStyle name="Normal 2 20 6" xfId="433" xr:uid="{00000000-0005-0000-0000-0000A9000000}"/>
    <cellStyle name="Normal 2 20 7" xfId="498" xr:uid="{00000000-0005-0000-0000-0000AA000000}"/>
    <cellStyle name="Normal 2 20 8" xfId="565" xr:uid="{00000000-0005-0000-0000-0000AB000000}"/>
    <cellStyle name="Normal 2 20 9" xfId="104" xr:uid="{00000000-0005-0000-0000-0000AC000000}"/>
    <cellStyle name="Normal 2 21" xfId="27" xr:uid="{00000000-0005-0000-0000-0000AD000000}"/>
    <cellStyle name="Normal 2 21 2" xfId="172" xr:uid="{00000000-0005-0000-0000-0000AE000000}"/>
    <cellStyle name="Normal 2 21 3" xfId="238" xr:uid="{00000000-0005-0000-0000-0000AF000000}"/>
    <cellStyle name="Normal 2 21 4" xfId="303" xr:uid="{00000000-0005-0000-0000-0000B0000000}"/>
    <cellStyle name="Normal 2 21 5" xfId="369" xr:uid="{00000000-0005-0000-0000-0000B1000000}"/>
    <cellStyle name="Normal 2 21 6" xfId="434" xr:uid="{00000000-0005-0000-0000-0000B2000000}"/>
    <cellStyle name="Normal 2 21 7" xfId="499" xr:uid="{00000000-0005-0000-0000-0000B3000000}"/>
    <cellStyle name="Normal 2 21 8" xfId="566" xr:uid="{00000000-0005-0000-0000-0000B4000000}"/>
    <cellStyle name="Normal 2 21 9" xfId="105" xr:uid="{00000000-0005-0000-0000-0000B5000000}"/>
    <cellStyle name="Normal 2 22" xfId="28" xr:uid="{00000000-0005-0000-0000-0000B6000000}"/>
    <cellStyle name="Normal 2 22 2" xfId="173" xr:uid="{00000000-0005-0000-0000-0000B7000000}"/>
    <cellStyle name="Normal 2 22 3" xfId="239" xr:uid="{00000000-0005-0000-0000-0000B8000000}"/>
    <cellStyle name="Normal 2 22 4" xfId="304" xr:uid="{00000000-0005-0000-0000-0000B9000000}"/>
    <cellStyle name="Normal 2 22 5" xfId="370" xr:uid="{00000000-0005-0000-0000-0000BA000000}"/>
    <cellStyle name="Normal 2 22 6" xfId="435" xr:uid="{00000000-0005-0000-0000-0000BB000000}"/>
    <cellStyle name="Normal 2 22 7" xfId="500" xr:uid="{00000000-0005-0000-0000-0000BC000000}"/>
    <cellStyle name="Normal 2 22 8" xfId="567" xr:uid="{00000000-0005-0000-0000-0000BD000000}"/>
    <cellStyle name="Normal 2 22 9" xfId="106" xr:uid="{00000000-0005-0000-0000-0000BE000000}"/>
    <cellStyle name="Normal 2 23" xfId="29" xr:uid="{00000000-0005-0000-0000-0000BF000000}"/>
    <cellStyle name="Normal 2 23 2" xfId="174" xr:uid="{00000000-0005-0000-0000-0000C0000000}"/>
    <cellStyle name="Normal 2 23 3" xfId="240" xr:uid="{00000000-0005-0000-0000-0000C1000000}"/>
    <cellStyle name="Normal 2 23 4" xfId="305" xr:uid="{00000000-0005-0000-0000-0000C2000000}"/>
    <cellStyle name="Normal 2 23 5" xfId="371" xr:uid="{00000000-0005-0000-0000-0000C3000000}"/>
    <cellStyle name="Normal 2 23 6" xfId="436" xr:uid="{00000000-0005-0000-0000-0000C4000000}"/>
    <cellStyle name="Normal 2 23 7" xfId="501" xr:uid="{00000000-0005-0000-0000-0000C5000000}"/>
    <cellStyle name="Normal 2 23 8" xfId="568" xr:uid="{00000000-0005-0000-0000-0000C6000000}"/>
    <cellStyle name="Normal 2 23 9" xfId="107" xr:uid="{00000000-0005-0000-0000-0000C7000000}"/>
    <cellStyle name="Normal 2 24" xfId="30" xr:uid="{00000000-0005-0000-0000-0000C8000000}"/>
    <cellStyle name="Normal 2 24 2" xfId="175" xr:uid="{00000000-0005-0000-0000-0000C9000000}"/>
    <cellStyle name="Normal 2 24 3" xfId="241" xr:uid="{00000000-0005-0000-0000-0000CA000000}"/>
    <cellStyle name="Normal 2 24 4" xfId="306" xr:uid="{00000000-0005-0000-0000-0000CB000000}"/>
    <cellStyle name="Normal 2 24 5" xfId="372" xr:uid="{00000000-0005-0000-0000-0000CC000000}"/>
    <cellStyle name="Normal 2 24 6" xfId="437" xr:uid="{00000000-0005-0000-0000-0000CD000000}"/>
    <cellStyle name="Normal 2 24 7" xfId="502" xr:uid="{00000000-0005-0000-0000-0000CE000000}"/>
    <cellStyle name="Normal 2 24 8" xfId="569" xr:uid="{00000000-0005-0000-0000-0000CF000000}"/>
    <cellStyle name="Normal 2 24 9" xfId="108" xr:uid="{00000000-0005-0000-0000-0000D0000000}"/>
    <cellStyle name="Normal 2 25" xfId="31" xr:uid="{00000000-0005-0000-0000-0000D1000000}"/>
    <cellStyle name="Normal 2 25 2" xfId="176" xr:uid="{00000000-0005-0000-0000-0000D2000000}"/>
    <cellStyle name="Normal 2 25 3" xfId="242" xr:uid="{00000000-0005-0000-0000-0000D3000000}"/>
    <cellStyle name="Normal 2 25 4" xfId="307" xr:uid="{00000000-0005-0000-0000-0000D4000000}"/>
    <cellStyle name="Normal 2 25 5" xfId="373" xr:uid="{00000000-0005-0000-0000-0000D5000000}"/>
    <cellStyle name="Normal 2 25 6" xfId="438" xr:uid="{00000000-0005-0000-0000-0000D6000000}"/>
    <cellStyle name="Normal 2 25 7" xfId="503" xr:uid="{00000000-0005-0000-0000-0000D7000000}"/>
    <cellStyle name="Normal 2 25 8" xfId="570" xr:uid="{00000000-0005-0000-0000-0000D8000000}"/>
    <cellStyle name="Normal 2 25 9" xfId="109" xr:uid="{00000000-0005-0000-0000-0000D9000000}"/>
    <cellStyle name="Normal 2 26" xfId="32" xr:uid="{00000000-0005-0000-0000-0000DA000000}"/>
    <cellStyle name="Normal 2 26 2" xfId="177" xr:uid="{00000000-0005-0000-0000-0000DB000000}"/>
    <cellStyle name="Normal 2 26 3" xfId="243" xr:uid="{00000000-0005-0000-0000-0000DC000000}"/>
    <cellStyle name="Normal 2 26 4" xfId="308" xr:uid="{00000000-0005-0000-0000-0000DD000000}"/>
    <cellStyle name="Normal 2 26 5" xfId="374" xr:uid="{00000000-0005-0000-0000-0000DE000000}"/>
    <cellStyle name="Normal 2 26 6" xfId="439" xr:uid="{00000000-0005-0000-0000-0000DF000000}"/>
    <cellStyle name="Normal 2 26 7" xfId="504" xr:uid="{00000000-0005-0000-0000-0000E0000000}"/>
    <cellStyle name="Normal 2 26 8" xfId="571" xr:uid="{00000000-0005-0000-0000-0000E1000000}"/>
    <cellStyle name="Normal 2 26 9" xfId="110" xr:uid="{00000000-0005-0000-0000-0000E2000000}"/>
    <cellStyle name="Normal 2 27" xfId="33" xr:uid="{00000000-0005-0000-0000-0000E3000000}"/>
    <cellStyle name="Normal 2 27 2" xfId="178" xr:uid="{00000000-0005-0000-0000-0000E4000000}"/>
    <cellStyle name="Normal 2 27 3" xfId="244" xr:uid="{00000000-0005-0000-0000-0000E5000000}"/>
    <cellStyle name="Normal 2 27 4" xfId="309" xr:uid="{00000000-0005-0000-0000-0000E6000000}"/>
    <cellStyle name="Normal 2 27 5" xfId="375" xr:uid="{00000000-0005-0000-0000-0000E7000000}"/>
    <cellStyle name="Normal 2 27 6" xfId="440" xr:uid="{00000000-0005-0000-0000-0000E8000000}"/>
    <cellStyle name="Normal 2 27 7" xfId="505" xr:uid="{00000000-0005-0000-0000-0000E9000000}"/>
    <cellStyle name="Normal 2 27 8" xfId="572" xr:uid="{00000000-0005-0000-0000-0000EA000000}"/>
    <cellStyle name="Normal 2 27 9" xfId="111" xr:uid="{00000000-0005-0000-0000-0000EB000000}"/>
    <cellStyle name="Normal 2 28" xfId="34" xr:uid="{00000000-0005-0000-0000-0000EC000000}"/>
    <cellStyle name="Normal 2 28 2" xfId="179" xr:uid="{00000000-0005-0000-0000-0000ED000000}"/>
    <cellStyle name="Normal 2 28 3" xfId="245" xr:uid="{00000000-0005-0000-0000-0000EE000000}"/>
    <cellStyle name="Normal 2 28 4" xfId="310" xr:uid="{00000000-0005-0000-0000-0000EF000000}"/>
    <cellStyle name="Normal 2 28 5" xfId="376" xr:uid="{00000000-0005-0000-0000-0000F0000000}"/>
    <cellStyle name="Normal 2 28 6" xfId="441" xr:uid="{00000000-0005-0000-0000-0000F1000000}"/>
    <cellStyle name="Normal 2 28 7" xfId="506" xr:uid="{00000000-0005-0000-0000-0000F2000000}"/>
    <cellStyle name="Normal 2 28 8" xfId="573" xr:uid="{00000000-0005-0000-0000-0000F3000000}"/>
    <cellStyle name="Normal 2 28 9" xfId="112" xr:uid="{00000000-0005-0000-0000-0000F4000000}"/>
    <cellStyle name="Normal 2 29" xfId="35" xr:uid="{00000000-0005-0000-0000-0000F5000000}"/>
    <cellStyle name="Normal 2 29 2" xfId="180" xr:uid="{00000000-0005-0000-0000-0000F6000000}"/>
    <cellStyle name="Normal 2 29 3" xfId="246" xr:uid="{00000000-0005-0000-0000-0000F7000000}"/>
    <cellStyle name="Normal 2 29 4" xfId="311" xr:uid="{00000000-0005-0000-0000-0000F8000000}"/>
    <cellStyle name="Normal 2 29 5" xfId="377" xr:uid="{00000000-0005-0000-0000-0000F9000000}"/>
    <cellStyle name="Normal 2 29 6" xfId="442" xr:uid="{00000000-0005-0000-0000-0000FA000000}"/>
    <cellStyle name="Normal 2 29 7" xfId="507" xr:uid="{00000000-0005-0000-0000-0000FB000000}"/>
    <cellStyle name="Normal 2 29 8" xfId="574" xr:uid="{00000000-0005-0000-0000-0000FC000000}"/>
    <cellStyle name="Normal 2 29 9" xfId="113" xr:uid="{00000000-0005-0000-0000-0000FD000000}"/>
    <cellStyle name="Normal 2 3" xfId="9" xr:uid="{00000000-0005-0000-0000-0000FE000000}"/>
    <cellStyle name="Normal 2 3 2" xfId="154" xr:uid="{00000000-0005-0000-0000-0000FF000000}"/>
    <cellStyle name="Normal 2 3 3" xfId="220" xr:uid="{00000000-0005-0000-0000-000000010000}"/>
    <cellStyle name="Normal 2 3 4" xfId="285" xr:uid="{00000000-0005-0000-0000-000001010000}"/>
    <cellStyle name="Normal 2 3 5" xfId="351" xr:uid="{00000000-0005-0000-0000-000002010000}"/>
    <cellStyle name="Normal 2 3 6" xfId="416" xr:uid="{00000000-0005-0000-0000-000003010000}"/>
    <cellStyle name="Normal 2 3 7" xfId="481" xr:uid="{00000000-0005-0000-0000-000004010000}"/>
    <cellStyle name="Normal 2 3 8" xfId="548" xr:uid="{00000000-0005-0000-0000-000005010000}"/>
    <cellStyle name="Normal 2 3 9" xfId="87" xr:uid="{00000000-0005-0000-0000-000006010000}"/>
    <cellStyle name="Normal 2 30" xfId="36" xr:uid="{00000000-0005-0000-0000-000007010000}"/>
    <cellStyle name="Normal 2 30 2" xfId="181" xr:uid="{00000000-0005-0000-0000-000008010000}"/>
    <cellStyle name="Normal 2 30 3" xfId="247" xr:uid="{00000000-0005-0000-0000-000009010000}"/>
    <cellStyle name="Normal 2 30 4" xfId="312" xr:uid="{00000000-0005-0000-0000-00000A010000}"/>
    <cellStyle name="Normal 2 30 5" xfId="378" xr:uid="{00000000-0005-0000-0000-00000B010000}"/>
    <cellStyle name="Normal 2 30 6" xfId="443" xr:uid="{00000000-0005-0000-0000-00000C010000}"/>
    <cellStyle name="Normal 2 30 7" xfId="508" xr:uid="{00000000-0005-0000-0000-00000D010000}"/>
    <cellStyle name="Normal 2 30 8" xfId="575" xr:uid="{00000000-0005-0000-0000-00000E010000}"/>
    <cellStyle name="Normal 2 30 9" xfId="114" xr:uid="{00000000-0005-0000-0000-00000F010000}"/>
    <cellStyle name="Normal 2 31" xfId="37" xr:uid="{00000000-0005-0000-0000-000010010000}"/>
    <cellStyle name="Normal 2 31 2" xfId="182" xr:uid="{00000000-0005-0000-0000-000011010000}"/>
    <cellStyle name="Normal 2 31 3" xfId="248" xr:uid="{00000000-0005-0000-0000-000012010000}"/>
    <cellStyle name="Normal 2 31 4" xfId="313" xr:uid="{00000000-0005-0000-0000-000013010000}"/>
    <cellStyle name="Normal 2 31 5" xfId="379" xr:uid="{00000000-0005-0000-0000-000014010000}"/>
    <cellStyle name="Normal 2 31 6" xfId="444" xr:uid="{00000000-0005-0000-0000-000015010000}"/>
    <cellStyle name="Normal 2 31 7" xfId="509" xr:uid="{00000000-0005-0000-0000-000016010000}"/>
    <cellStyle name="Normal 2 31 8" xfId="576" xr:uid="{00000000-0005-0000-0000-000017010000}"/>
    <cellStyle name="Normal 2 31 9" xfId="115" xr:uid="{00000000-0005-0000-0000-000018010000}"/>
    <cellStyle name="Normal 2 32" xfId="38" xr:uid="{00000000-0005-0000-0000-000019010000}"/>
    <cellStyle name="Normal 2 32 2" xfId="183" xr:uid="{00000000-0005-0000-0000-00001A010000}"/>
    <cellStyle name="Normal 2 32 3" xfId="249" xr:uid="{00000000-0005-0000-0000-00001B010000}"/>
    <cellStyle name="Normal 2 32 4" xfId="314" xr:uid="{00000000-0005-0000-0000-00001C010000}"/>
    <cellStyle name="Normal 2 32 5" xfId="380" xr:uid="{00000000-0005-0000-0000-00001D010000}"/>
    <cellStyle name="Normal 2 32 6" xfId="445" xr:uid="{00000000-0005-0000-0000-00001E010000}"/>
    <cellStyle name="Normal 2 32 7" xfId="510" xr:uid="{00000000-0005-0000-0000-00001F010000}"/>
    <cellStyle name="Normal 2 32 8" xfId="577" xr:uid="{00000000-0005-0000-0000-000020010000}"/>
    <cellStyle name="Normal 2 32 9" xfId="116" xr:uid="{00000000-0005-0000-0000-000021010000}"/>
    <cellStyle name="Normal 2 33" xfId="39" xr:uid="{00000000-0005-0000-0000-000022010000}"/>
    <cellStyle name="Normal 2 33 2" xfId="184" xr:uid="{00000000-0005-0000-0000-000023010000}"/>
    <cellStyle name="Normal 2 33 3" xfId="250" xr:uid="{00000000-0005-0000-0000-000024010000}"/>
    <cellStyle name="Normal 2 33 4" xfId="315" xr:uid="{00000000-0005-0000-0000-000025010000}"/>
    <cellStyle name="Normal 2 33 5" xfId="381" xr:uid="{00000000-0005-0000-0000-000026010000}"/>
    <cellStyle name="Normal 2 33 6" xfId="446" xr:uid="{00000000-0005-0000-0000-000027010000}"/>
    <cellStyle name="Normal 2 33 7" xfId="511" xr:uid="{00000000-0005-0000-0000-000028010000}"/>
    <cellStyle name="Normal 2 33 8" xfId="578" xr:uid="{00000000-0005-0000-0000-000029010000}"/>
    <cellStyle name="Normal 2 33 9" xfId="117" xr:uid="{00000000-0005-0000-0000-00002A010000}"/>
    <cellStyle name="Normal 2 34" xfId="40" xr:uid="{00000000-0005-0000-0000-00002B010000}"/>
    <cellStyle name="Normal 2 34 2" xfId="185" xr:uid="{00000000-0005-0000-0000-00002C010000}"/>
    <cellStyle name="Normal 2 34 3" xfId="251" xr:uid="{00000000-0005-0000-0000-00002D010000}"/>
    <cellStyle name="Normal 2 34 4" xfId="316" xr:uid="{00000000-0005-0000-0000-00002E010000}"/>
    <cellStyle name="Normal 2 34 5" xfId="382" xr:uid="{00000000-0005-0000-0000-00002F010000}"/>
    <cellStyle name="Normal 2 34 6" xfId="447" xr:uid="{00000000-0005-0000-0000-000030010000}"/>
    <cellStyle name="Normal 2 34 7" xfId="512" xr:uid="{00000000-0005-0000-0000-000031010000}"/>
    <cellStyle name="Normal 2 34 8" xfId="579" xr:uid="{00000000-0005-0000-0000-000032010000}"/>
    <cellStyle name="Normal 2 34 9" xfId="118" xr:uid="{00000000-0005-0000-0000-000033010000}"/>
    <cellStyle name="Normal 2 35" xfId="41" xr:uid="{00000000-0005-0000-0000-000034010000}"/>
    <cellStyle name="Normal 2 35 2" xfId="186" xr:uid="{00000000-0005-0000-0000-000035010000}"/>
    <cellStyle name="Normal 2 35 3" xfId="252" xr:uid="{00000000-0005-0000-0000-000036010000}"/>
    <cellStyle name="Normal 2 35 4" xfId="317" xr:uid="{00000000-0005-0000-0000-000037010000}"/>
    <cellStyle name="Normal 2 35 5" xfId="383" xr:uid="{00000000-0005-0000-0000-000038010000}"/>
    <cellStyle name="Normal 2 35 6" xfId="448" xr:uid="{00000000-0005-0000-0000-000039010000}"/>
    <cellStyle name="Normal 2 35 7" xfId="513" xr:uid="{00000000-0005-0000-0000-00003A010000}"/>
    <cellStyle name="Normal 2 35 8" xfId="580" xr:uid="{00000000-0005-0000-0000-00003B010000}"/>
    <cellStyle name="Normal 2 35 9" xfId="119" xr:uid="{00000000-0005-0000-0000-00003C010000}"/>
    <cellStyle name="Normal 2 36" xfId="46" xr:uid="{00000000-0005-0000-0000-00003D010000}"/>
    <cellStyle name="Normal 2 36 2" xfId="191" xr:uid="{00000000-0005-0000-0000-00003E010000}"/>
    <cellStyle name="Normal 2 36 3" xfId="257" xr:uid="{00000000-0005-0000-0000-00003F010000}"/>
    <cellStyle name="Normal 2 36 4" xfId="322" xr:uid="{00000000-0005-0000-0000-000040010000}"/>
    <cellStyle name="Normal 2 36 5" xfId="388" xr:uid="{00000000-0005-0000-0000-000041010000}"/>
    <cellStyle name="Normal 2 36 6" xfId="453" xr:uid="{00000000-0005-0000-0000-000042010000}"/>
    <cellStyle name="Normal 2 36 7" xfId="518" xr:uid="{00000000-0005-0000-0000-000043010000}"/>
    <cellStyle name="Normal 2 36 8" xfId="585" xr:uid="{00000000-0005-0000-0000-000044010000}"/>
    <cellStyle name="Normal 2 36 9" xfId="124" xr:uid="{00000000-0005-0000-0000-000045010000}"/>
    <cellStyle name="Normal 2 37" xfId="52" xr:uid="{00000000-0005-0000-0000-000046010000}"/>
    <cellStyle name="Normal 2 37 2" xfId="196" xr:uid="{00000000-0005-0000-0000-000047010000}"/>
    <cellStyle name="Normal 2 37 3" xfId="262" xr:uid="{00000000-0005-0000-0000-000048010000}"/>
    <cellStyle name="Normal 2 37 4" xfId="327" xr:uid="{00000000-0005-0000-0000-000049010000}"/>
    <cellStyle name="Normal 2 37 5" xfId="393" xr:uid="{00000000-0005-0000-0000-00004A010000}"/>
    <cellStyle name="Normal 2 37 6" xfId="458" xr:uid="{00000000-0005-0000-0000-00004B010000}"/>
    <cellStyle name="Normal 2 37 7" xfId="523" xr:uid="{00000000-0005-0000-0000-00004C010000}"/>
    <cellStyle name="Normal 2 37 8" xfId="590" xr:uid="{00000000-0005-0000-0000-00004D010000}"/>
    <cellStyle name="Normal 2 37 9" xfId="130" xr:uid="{00000000-0005-0000-0000-00004E010000}"/>
    <cellStyle name="Normal 2 38" xfId="54" xr:uid="{00000000-0005-0000-0000-00004F010000}"/>
    <cellStyle name="Normal 2 38 2" xfId="198" xr:uid="{00000000-0005-0000-0000-000050010000}"/>
    <cellStyle name="Normal 2 38 3" xfId="264" xr:uid="{00000000-0005-0000-0000-000051010000}"/>
    <cellStyle name="Normal 2 38 4" xfId="329" xr:uid="{00000000-0005-0000-0000-000052010000}"/>
    <cellStyle name="Normal 2 38 5" xfId="395" xr:uid="{00000000-0005-0000-0000-000053010000}"/>
    <cellStyle name="Normal 2 38 6" xfId="460" xr:uid="{00000000-0005-0000-0000-000054010000}"/>
    <cellStyle name="Normal 2 38 7" xfId="525" xr:uid="{00000000-0005-0000-0000-000055010000}"/>
    <cellStyle name="Normal 2 38 8" xfId="592" xr:uid="{00000000-0005-0000-0000-000056010000}"/>
    <cellStyle name="Normal 2 38 9" xfId="132" xr:uid="{00000000-0005-0000-0000-000057010000}"/>
    <cellStyle name="Normal 2 39" xfId="50" xr:uid="{00000000-0005-0000-0000-000058010000}"/>
    <cellStyle name="Normal 2 39 2" xfId="194" xr:uid="{00000000-0005-0000-0000-000059010000}"/>
    <cellStyle name="Normal 2 39 3" xfId="260" xr:uid="{00000000-0005-0000-0000-00005A010000}"/>
    <cellStyle name="Normal 2 39 4" xfId="325" xr:uid="{00000000-0005-0000-0000-00005B010000}"/>
    <cellStyle name="Normal 2 39 5" xfId="391" xr:uid="{00000000-0005-0000-0000-00005C010000}"/>
    <cellStyle name="Normal 2 39 6" xfId="456" xr:uid="{00000000-0005-0000-0000-00005D010000}"/>
    <cellStyle name="Normal 2 39 7" xfId="521" xr:uid="{00000000-0005-0000-0000-00005E010000}"/>
    <cellStyle name="Normal 2 39 8" xfId="588" xr:uid="{00000000-0005-0000-0000-00005F010000}"/>
    <cellStyle name="Normal 2 39 9" xfId="128" xr:uid="{00000000-0005-0000-0000-000060010000}"/>
    <cellStyle name="Normal 2 4" xfId="10" xr:uid="{00000000-0005-0000-0000-000061010000}"/>
    <cellStyle name="Normal 2 4 2" xfId="155" xr:uid="{00000000-0005-0000-0000-000062010000}"/>
    <cellStyle name="Normal 2 4 3" xfId="221" xr:uid="{00000000-0005-0000-0000-000063010000}"/>
    <cellStyle name="Normal 2 4 4" xfId="286" xr:uid="{00000000-0005-0000-0000-000064010000}"/>
    <cellStyle name="Normal 2 4 5" xfId="352" xr:uid="{00000000-0005-0000-0000-000065010000}"/>
    <cellStyle name="Normal 2 4 6" xfId="417" xr:uid="{00000000-0005-0000-0000-000066010000}"/>
    <cellStyle name="Normal 2 4 7" xfId="482" xr:uid="{00000000-0005-0000-0000-000067010000}"/>
    <cellStyle name="Normal 2 4 8" xfId="549" xr:uid="{00000000-0005-0000-0000-000068010000}"/>
    <cellStyle name="Normal 2 4 9" xfId="88" xr:uid="{00000000-0005-0000-0000-000069010000}"/>
    <cellStyle name="Normal 2 40" xfId="56" xr:uid="{00000000-0005-0000-0000-00006A010000}"/>
    <cellStyle name="Normal 2 40 2" xfId="200" xr:uid="{00000000-0005-0000-0000-00006B010000}"/>
    <cellStyle name="Normal 2 40 3" xfId="266" xr:uid="{00000000-0005-0000-0000-00006C010000}"/>
    <cellStyle name="Normal 2 40 4" xfId="331" xr:uid="{00000000-0005-0000-0000-00006D010000}"/>
    <cellStyle name="Normal 2 40 5" xfId="397" xr:uid="{00000000-0005-0000-0000-00006E010000}"/>
    <cellStyle name="Normal 2 40 6" xfId="462" xr:uid="{00000000-0005-0000-0000-00006F010000}"/>
    <cellStyle name="Normal 2 40 7" xfId="527" xr:uid="{00000000-0005-0000-0000-000070010000}"/>
    <cellStyle name="Normal 2 40 8" xfId="594" xr:uid="{00000000-0005-0000-0000-000071010000}"/>
    <cellStyle name="Normal 2 40 9" xfId="134" xr:uid="{00000000-0005-0000-0000-000072010000}"/>
    <cellStyle name="Normal 2 41" xfId="146" xr:uid="{00000000-0005-0000-0000-000073010000}"/>
    <cellStyle name="Normal 2 42" xfId="212" xr:uid="{00000000-0005-0000-0000-000074010000}"/>
    <cellStyle name="Normal 2 43" xfId="71" xr:uid="{00000000-0005-0000-0000-000075010000}"/>
    <cellStyle name="Normal 2 44" xfId="343" xr:uid="{00000000-0005-0000-0000-000076010000}"/>
    <cellStyle name="Normal 2 45" xfId="68" xr:uid="{00000000-0005-0000-0000-000077010000}"/>
    <cellStyle name="Normal 2 46" xfId="474" xr:uid="{00000000-0005-0000-0000-000078010000}"/>
    <cellStyle name="Normal 2 47" xfId="540" xr:uid="{00000000-0005-0000-0000-000079010000}"/>
    <cellStyle name="Normal 2 48" xfId="79" xr:uid="{00000000-0005-0000-0000-00007A010000}"/>
    <cellStyle name="Normal 2 5" xfId="11" xr:uid="{00000000-0005-0000-0000-00007B010000}"/>
    <cellStyle name="Normal 2 5 2" xfId="156" xr:uid="{00000000-0005-0000-0000-00007C010000}"/>
    <cellStyle name="Normal 2 5 3" xfId="222" xr:uid="{00000000-0005-0000-0000-00007D010000}"/>
    <cellStyle name="Normal 2 5 4" xfId="287" xr:uid="{00000000-0005-0000-0000-00007E010000}"/>
    <cellStyle name="Normal 2 5 5" xfId="353" xr:uid="{00000000-0005-0000-0000-00007F010000}"/>
    <cellStyle name="Normal 2 5 6" xfId="418" xr:uid="{00000000-0005-0000-0000-000080010000}"/>
    <cellStyle name="Normal 2 5 7" xfId="483" xr:uid="{00000000-0005-0000-0000-000081010000}"/>
    <cellStyle name="Normal 2 5 8" xfId="550" xr:uid="{00000000-0005-0000-0000-000082010000}"/>
    <cellStyle name="Normal 2 5 9" xfId="89" xr:uid="{00000000-0005-0000-0000-000083010000}"/>
    <cellStyle name="Normal 2 6" xfId="12" xr:uid="{00000000-0005-0000-0000-000084010000}"/>
    <cellStyle name="Normal 2 6 2" xfId="157" xr:uid="{00000000-0005-0000-0000-000085010000}"/>
    <cellStyle name="Normal 2 6 3" xfId="223" xr:uid="{00000000-0005-0000-0000-000086010000}"/>
    <cellStyle name="Normal 2 6 4" xfId="288" xr:uid="{00000000-0005-0000-0000-000087010000}"/>
    <cellStyle name="Normal 2 6 5" xfId="354" xr:uid="{00000000-0005-0000-0000-000088010000}"/>
    <cellStyle name="Normal 2 6 6" xfId="419" xr:uid="{00000000-0005-0000-0000-000089010000}"/>
    <cellStyle name="Normal 2 6 7" xfId="484" xr:uid="{00000000-0005-0000-0000-00008A010000}"/>
    <cellStyle name="Normal 2 6 8" xfId="551" xr:uid="{00000000-0005-0000-0000-00008B010000}"/>
    <cellStyle name="Normal 2 6 9" xfId="90" xr:uid="{00000000-0005-0000-0000-00008C010000}"/>
    <cellStyle name="Normal 2 7" xfId="13" xr:uid="{00000000-0005-0000-0000-00008D010000}"/>
    <cellStyle name="Normal 2 7 2" xfId="158" xr:uid="{00000000-0005-0000-0000-00008E010000}"/>
    <cellStyle name="Normal 2 7 3" xfId="224" xr:uid="{00000000-0005-0000-0000-00008F010000}"/>
    <cellStyle name="Normal 2 7 4" xfId="289" xr:uid="{00000000-0005-0000-0000-000090010000}"/>
    <cellStyle name="Normal 2 7 5" xfId="355" xr:uid="{00000000-0005-0000-0000-000091010000}"/>
    <cellStyle name="Normal 2 7 6" xfId="420" xr:uid="{00000000-0005-0000-0000-000092010000}"/>
    <cellStyle name="Normal 2 7 7" xfId="485" xr:uid="{00000000-0005-0000-0000-000093010000}"/>
    <cellStyle name="Normal 2 7 8" xfId="552" xr:uid="{00000000-0005-0000-0000-000094010000}"/>
    <cellStyle name="Normal 2 7 9" xfId="91" xr:uid="{00000000-0005-0000-0000-000095010000}"/>
    <cellStyle name="Normal 2 8" xfId="14" xr:uid="{00000000-0005-0000-0000-000096010000}"/>
    <cellStyle name="Normal 2 8 2" xfId="159" xr:uid="{00000000-0005-0000-0000-000097010000}"/>
    <cellStyle name="Normal 2 8 3" xfId="225" xr:uid="{00000000-0005-0000-0000-000098010000}"/>
    <cellStyle name="Normal 2 8 4" xfId="290" xr:uid="{00000000-0005-0000-0000-000099010000}"/>
    <cellStyle name="Normal 2 8 5" xfId="356" xr:uid="{00000000-0005-0000-0000-00009A010000}"/>
    <cellStyle name="Normal 2 8 6" xfId="421" xr:uid="{00000000-0005-0000-0000-00009B010000}"/>
    <cellStyle name="Normal 2 8 7" xfId="486" xr:uid="{00000000-0005-0000-0000-00009C010000}"/>
    <cellStyle name="Normal 2 8 8" xfId="553" xr:uid="{00000000-0005-0000-0000-00009D010000}"/>
    <cellStyle name="Normal 2 8 9" xfId="92" xr:uid="{00000000-0005-0000-0000-00009E010000}"/>
    <cellStyle name="Normal 2 9" xfId="15" xr:uid="{00000000-0005-0000-0000-00009F010000}"/>
    <cellStyle name="Normal 2 9 2" xfId="160" xr:uid="{00000000-0005-0000-0000-0000A0010000}"/>
    <cellStyle name="Normal 2 9 3" xfId="226" xr:uid="{00000000-0005-0000-0000-0000A1010000}"/>
    <cellStyle name="Normal 2 9 4" xfId="291" xr:uid="{00000000-0005-0000-0000-0000A2010000}"/>
    <cellStyle name="Normal 2 9 5" xfId="357" xr:uid="{00000000-0005-0000-0000-0000A3010000}"/>
    <cellStyle name="Normal 2 9 6" xfId="422" xr:uid="{00000000-0005-0000-0000-0000A4010000}"/>
    <cellStyle name="Normal 2 9 7" xfId="487" xr:uid="{00000000-0005-0000-0000-0000A5010000}"/>
    <cellStyle name="Normal 2 9 8" xfId="554" xr:uid="{00000000-0005-0000-0000-0000A6010000}"/>
    <cellStyle name="Normal 2 9 9" xfId="93" xr:uid="{00000000-0005-0000-0000-0000A7010000}"/>
    <cellStyle name="Normal 20" xfId="126" xr:uid="{00000000-0005-0000-0000-0000A8010000}"/>
    <cellStyle name="Normal 20 2" xfId="611" xr:uid="{95982D6A-4048-4CB1-AEC3-5D77872B36C0}"/>
    <cellStyle name="Normal 21" xfId="612" xr:uid="{8C0F2289-744B-405C-A9A9-25AB2C346307}"/>
    <cellStyle name="Normal 22" xfId="608" xr:uid="{FC5E8A58-14F2-4E31-9CEB-241B5E97F743}"/>
    <cellStyle name="Normal 23" xfId="609" xr:uid="{640AF5B1-8776-4F28-9F0F-58FB4097ACAF}"/>
    <cellStyle name="Normal 3" xfId="3" xr:uid="{00000000-0005-0000-0000-0000A9010000}"/>
    <cellStyle name="Normal 3 10" xfId="147" xr:uid="{00000000-0005-0000-0000-0000AA010000}"/>
    <cellStyle name="Normal 3 11" xfId="213" xr:uid="{00000000-0005-0000-0000-0000AB010000}"/>
    <cellStyle name="Normal 3 12" xfId="278" xr:uid="{00000000-0005-0000-0000-0000AC010000}"/>
    <cellStyle name="Normal 3 13" xfId="344" xr:uid="{00000000-0005-0000-0000-0000AD010000}"/>
    <cellStyle name="Normal 3 14" xfId="409" xr:uid="{00000000-0005-0000-0000-0000AE010000}"/>
    <cellStyle name="Normal 3 15" xfId="475" xr:uid="{00000000-0005-0000-0000-0000AF010000}"/>
    <cellStyle name="Normal 3 16" xfId="541" xr:uid="{00000000-0005-0000-0000-0000B0010000}"/>
    <cellStyle name="Normal 3 17" xfId="80" xr:uid="{00000000-0005-0000-0000-0000B1010000}"/>
    <cellStyle name="Normal 3 2" xfId="6" xr:uid="{00000000-0005-0000-0000-0000B2010000}"/>
    <cellStyle name="Normal 3 2 2" xfId="151" xr:uid="{00000000-0005-0000-0000-0000B3010000}"/>
    <cellStyle name="Normal 3 2 3" xfId="217" xr:uid="{00000000-0005-0000-0000-0000B4010000}"/>
    <cellStyle name="Normal 3 2 4" xfId="282" xr:uid="{00000000-0005-0000-0000-0000B5010000}"/>
    <cellStyle name="Normal 3 2 5" xfId="348" xr:uid="{00000000-0005-0000-0000-0000B6010000}"/>
    <cellStyle name="Normal 3 2 6" xfId="413" xr:uid="{00000000-0005-0000-0000-0000B7010000}"/>
    <cellStyle name="Normal 3 2 7" xfId="478" xr:uid="{00000000-0005-0000-0000-0000B8010000}"/>
    <cellStyle name="Normal 3 2 8" xfId="545" xr:uid="{00000000-0005-0000-0000-0000B9010000}"/>
    <cellStyle name="Normal 3 2 9" xfId="84" xr:uid="{00000000-0005-0000-0000-0000BA010000}"/>
    <cellStyle name="Normal 3 3" xfId="62" xr:uid="{00000000-0005-0000-0000-0000BB010000}"/>
    <cellStyle name="Normal 3 3 2" xfId="206" xr:uid="{00000000-0005-0000-0000-0000BC010000}"/>
    <cellStyle name="Normal 3 3 3" xfId="272" xr:uid="{00000000-0005-0000-0000-0000BD010000}"/>
    <cellStyle name="Normal 3 3 4" xfId="337" xr:uid="{00000000-0005-0000-0000-0000BE010000}"/>
    <cellStyle name="Normal 3 3 5" xfId="403" xr:uid="{00000000-0005-0000-0000-0000BF010000}"/>
    <cellStyle name="Normal 3 3 6" xfId="468" xr:uid="{00000000-0005-0000-0000-0000C0010000}"/>
    <cellStyle name="Normal 3 3 7" xfId="533" xr:uid="{00000000-0005-0000-0000-0000C1010000}"/>
    <cellStyle name="Normal 3 3 8" xfId="600" xr:uid="{00000000-0005-0000-0000-0000C2010000}"/>
    <cellStyle name="Normal 3 3 9" xfId="140" xr:uid="{00000000-0005-0000-0000-0000C3010000}"/>
    <cellStyle name="Normal 3 4" xfId="63" xr:uid="{00000000-0005-0000-0000-0000C4010000}"/>
    <cellStyle name="Normal 3 4 2" xfId="207" xr:uid="{00000000-0005-0000-0000-0000C5010000}"/>
    <cellStyle name="Normal 3 4 3" xfId="273" xr:uid="{00000000-0005-0000-0000-0000C6010000}"/>
    <cellStyle name="Normal 3 4 4" xfId="338" xr:uid="{00000000-0005-0000-0000-0000C7010000}"/>
    <cellStyle name="Normal 3 4 5" xfId="404" xr:uid="{00000000-0005-0000-0000-0000C8010000}"/>
    <cellStyle name="Normal 3 4 6" xfId="469" xr:uid="{00000000-0005-0000-0000-0000C9010000}"/>
    <cellStyle name="Normal 3 4 7" xfId="534" xr:uid="{00000000-0005-0000-0000-0000CA010000}"/>
    <cellStyle name="Normal 3 4 8" xfId="601" xr:uid="{00000000-0005-0000-0000-0000CB010000}"/>
    <cellStyle name="Normal 3 4 9" xfId="141" xr:uid="{00000000-0005-0000-0000-0000CC010000}"/>
    <cellStyle name="Normal 3 5" xfId="61" xr:uid="{00000000-0005-0000-0000-0000CD010000}"/>
    <cellStyle name="Normal 3 5 2" xfId="205" xr:uid="{00000000-0005-0000-0000-0000CE010000}"/>
    <cellStyle name="Normal 3 5 3" xfId="271" xr:uid="{00000000-0005-0000-0000-0000CF010000}"/>
    <cellStyle name="Normal 3 5 4" xfId="336" xr:uid="{00000000-0005-0000-0000-0000D0010000}"/>
    <cellStyle name="Normal 3 5 5" xfId="402" xr:uid="{00000000-0005-0000-0000-0000D1010000}"/>
    <cellStyle name="Normal 3 5 6" xfId="467" xr:uid="{00000000-0005-0000-0000-0000D2010000}"/>
    <cellStyle name="Normal 3 5 7" xfId="532" xr:uid="{00000000-0005-0000-0000-0000D3010000}"/>
    <cellStyle name="Normal 3 5 8" xfId="599" xr:uid="{00000000-0005-0000-0000-0000D4010000}"/>
    <cellStyle name="Normal 3 5 9" xfId="139" xr:uid="{00000000-0005-0000-0000-0000D5010000}"/>
    <cellStyle name="Normal 3 6" xfId="64" xr:uid="{00000000-0005-0000-0000-0000D6010000}"/>
    <cellStyle name="Normal 3 6 2" xfId="208" xr:uid="{00000000-0005-0000-0000-0000D7010000}"/>
    <cellStyle name="Normal 3 6 3" xfId="274" xr:uid="{00000000-0005-0000-0000-0000D8010000}"/>
    <cellStyle name="Normal 3 6 4" xfId="339" xr:uid="{00000000-0005-0000-0000-0000D9010000}"/>
    <cellStyle name="Normal 3 6 5" xfId="405" xr:uid="{00000000-0005-0000-0000-0000DA010000}"/>
    <cellStyle name="Normal 3 6 6" xfId="470" xr:uid="{00000000-0005-0000-0000-0000DB010000}"/>
    <cellStyle name="Normal 3 6 7" xfId="535" xr:uid="{00000000-0005-0000-0000-0000DC010000}"/>
    <cellStyle name="Normal 3 6 8" xfId="602" xr:uid="{00000000-0005-0000-0000-0000DD010000}"/>
    <cellStyle name="Normal 3 6 9" xfId="142" xr:uid="{00000000-0005-0000-0000-0000DE010000}"/>
    <cellStyle name="Normal 3 7" xfId="65" xr:uid="{00000000-0005-0000-0000-0000DF010000}"/>
    <cellStyle name="Normal 3 7 2" xfId="209" xr:uid="{00000000-0005-0000-0000-0000E0010000}"/>
    <cellStyle name="Normal 3 7 3" xfId="275" xr:uid="{00000000-0005-0000-0000-0000E1010000}"/>
    <cellStyle name="Normal 3 7 4" xfId="340" xr:uid="{00000000-0005-0000-0000-0000E2010000}"/>
    <cellStyle name="Normal 3 7 5" xfId="406" xr:uid="{00000000-0005-0000-0000-0000E3010000}"/>
    <cellStyle name="Normal 3 7 6" xfId="471" xr:uid="{00000000-0005-0000-0000-0000E4010000}"/>
    <cellStyle name="Normal 3 7 7" xfId="536" xr:uid="{00000000-0005-0000-0000-0000E5010000}"/>
    <cellStyle name="Normal 3 7 8" xfId="603" xr:uid="{00000000-0005-0000-0000-0000E6010000}"/>
    <cellStyle name="Normal 3 7 9" xfId="143" xr:uid="{00000000-0005-0000-0000-0000E7010000}"/>
    <cellStyle name="Normal 3 8" xfId="66" xr:uid="{00000000-0005-0000-0000-0000E8010000}"/>
    <cellStyle name="Normal 3 8 2" xfId="210" xr:uid="{00000000-0005-0000-0000-0000E9010000}"/>
    <cellStyle name="Normal 3 8 3" xfId="276" xr:uid="{00000000-0005-0000-0000-0000EA010000}"/>
    <cellStyle name="Normal 3 8 4" xfId="341" xr:uid="{00000000-0005-0000-0000-0000EB010000}"/>
    <cellStyle name="Normal 3 8 5" xfId="407" xr:uid="{00000000-0005-0000-0000-0000EC010000}"/>
    <cellStyle name="Normal 3 8 6" xfId="472" xr:uid="{00000000-0005-0000-0000-0000ED010000}"/>
    <cellStyle name="Normal 3 8 7" xfId="537" xr:uid="{00000000-0005-0000-0000-0000EE010000}"/>
    <cellStyle name="Normal 3 8 8" xfId="604" xr:uid="{00000000-0005-0000-0000-0000EF010000}"/>
    <cellStyle name="Normal 3 8 9" xfId="144" xr:uid="{00000000-0005-0000-0000-0000F0010000}"/>
    <cellStyle name="Normal 3 9" xfId="67" xr:uid="{00000000-0005-0000-0000-0000F1010000}"/>
    <cellStyle name="Normal 3 9 2" xfId="211" xr:uid="{00000000-0005-0000-0000-0000F2010000}"/>
    <cellStyle name="Normal 3 9 3" xfId="277" xr:uid="{00000000-0005-0000-0000-0000F3010000}"/>
    <cellStyle name="Normal 3 9 4" xfId="342" xr:uid="{00000000-0005-0000-0000-0000F4010000}"/>
    <cellStyle name="Normal 3 9 5" xfId="408" xr:uid="{00000000-0005-0000-0000-0000F5010000}"/>
    <cellStyle name="Normal 3 9 6" xfId="473" xr:uid="{00000000-0005-0000-0000-0000F6010000}"/>
    <cellStyle name="Normal 3 9 7" xfId="538" xr:uid="{00000000-0005-0000-0000-0000F7010000}"/>
    <cellStyle name="Normal 3 9 8" xfId="605" xr:uid="{00000000-0005-0000-0000-0000F8010000}"/>
    <cellStyle name="Normal 3 9 9" xfId="145" xr:uid="{00000000-0005-0000-0000-0000F9010000}"/>
    <cellStyle name="Normal 4" xfId="42" xr:uid="{00000000-0005-0000-0000-0000FA010000}"/>
    <cellStyle name="Normal 4 10" xfId="384" xr:uid="{00000000-0005-0000-0000-0000FB010000}"/>
    <cellStyle name="Normal 4 11" xfId="449" xr:uid="{00000000-0005-0000-0000-0000FC010000}"/>
    <cellStyle name="Normal 4 12" xfId="514" xr:uid="{00000000-0005-0000-0000-0000FD010000}"/>
    <cellStyle name="Normal 4 13" xfId="581" xr:uid="{00000000-0005-0000-0000-0000FE010000}"/>
    <cellStyle name="Normal 4 14" xfId="120" xr:uid="{00000000-0005-0000-0000-0000FF010000}"/>
    <cellStyle name="Normal 4 2" xfId="47" xr:uid="{00000000-0005-0000-0000-000000020000}"/>
    <cellStyle name="Normal 4 2 2" xfId="192" xr:uid="{00000000-0005-0000-0000-000001020000}"/>
    <cellStyle name="Normal 4 2 3" xfId="258" xr:uid="{00000000-0005-0000-0000-000002020000}"/>
    <cellStyle name="Normal 4 2 4" xfId="323" xr:uid="{00000000-0005-0000-0000-000003020000}"/>
    <cellStyle name="Normal 4 2 5" xfId="389" xr:uid="{00000000-0005-0000-0000-000004020000}"/>
    <cellStyle name="Normal 4 2 6" xfId="454" xr:uid="{00000000-0005-0000-0000-000005020000}"/>
    <cellStyle name="Normal 4 2 7" xfId="519" xr:uid="{00000000-0005-0000-0000-000006020000}"/>
    <cellStyle name="Normal 4 2 8" xfId="586" xr:uid="{00000000-0005-0000-0000-000007020000}"/>
    <cellStyle name="Normal 4 2 9" xfId="125" xr:uid="{00000000-0005-0000-0000-000008020000}"/>
    <cellStyle name="Normal 4 3" xfId="53" xr:uid="{00000000-0005-0000-0000-000009020000}"/>
    <cellStyle name="Normal 4 3 2" xfId="197" xr:uid="{00000000-0005-0000-0000-00000A020000}"/>
    <cellStyle name="Normal 4 3 3" xfId="263" xr:uid="{00000000-0005-0000-0000-00000B020000}"/>
    <cellStyle name="Normal 4 3 4" xfId="328" xr:uid="{00000000-0005-0000-0000-00000C020000}"/>
    <cellStyle name="Normal 4 3 5" xfId="394" xr:uid="{00000000-0005-0000-0000-00000D020000}"/>
    <cellStyle name="Normal 4 3 6" xfId="459" xr:uid="{00000000-0005-0000-0000-00000E020000}"/>
    <cellStyle name="Normal 4 3 7" xfId="524" xr:uid="{00000000-0005-0000-0000-00000F020000}"/>
    <cellStyle name="Normal 4 3 8" xfId="591" xr:uid="{00000000-0005-0000-0000-000010020000}"/>
    <cellStyle name="Normal 4 3 9" xfId="131" xr:uid="{00000000-0005-0000-0000-000011020000}"/>
    <cellStyle name="Normal 4 4" xfId="55" xr:uid="{00000000-0005-0000-0000-000012020000}"/>
    <cellStyle name="Normal 4 4 2" xfId="199" xr:uid="{00000000-0005-0000-0000-000013020000}"/>
    <cellStyle name="Normal 4 4 3" xfId="265" xr:uid="{00000000-0005-0000-0000-000014020000}"/>
    <cellStyle name="Normal 4 4 4" xfId="330" xr:uid="{00000000-0005-0000-0000-000015020000}"/>
    <cellStyle name="Normal 4 4 5" xfId="396" xr:uid="{00000000-0005-0000-0000-000016020000}"/>
    <cellStyle name="Normal 4 4 6" xfId="461" xr:uid="{00000000-0005-0000-0000-000017020000}"/>
    <cellStyle name="Normal 4 4 7" xfId="526" xr:uid="{00000000-0005-0000-0000-000018020000}"/>
    <cellStyle name="Normal 4 4 8" xfId="593" xr:uid="{00000000-0005-0000-0000-000019020000}"/>
    <cellStyle name="Normal 4 4 9" xfId="133" xr:uid="{00000000-0005-0000-0000-00001A020000}"/>
    <cellStyle name="Normal 4 5" xfId="58" xr:uid="{00000000-0005-0000-0000-00001B020000}"/>
    <cellStyle name="Normal 4 5 2" xfId="202" xr:uid="{00000000-0005-0000-0000-00001C020000}"/>
    <cellStyle name="Normal 4 5 3" xfId="268" xr:uid="{00000000-0005-0000-0000-00001D020000}"/>
    <cellStyle name="Normal 4 5 4" xfId="333" xr:uid="{00000000-0005-0000-0000-00001E020000}"/>
    <cellStyle name="Normal 4 5 5" xfId="399" xr:uid="{00000000-0005-0000-0000-00001F020000}"/>
    <cellStyle name="Normal 4 5 6" xfId="464" xr:uid="{00000000-0005-0000-0000-000020020000}"/>
    <cellStyle name="Normal 4 5 7" xfId="529" xr:uid="{00000000-0005-0000-0000-000021020000}"/>
    <cellStyle name="Normal 4 5 8" xfId="596" xr:uid="{00000000-0005-0000-0000-000022020000}"/>
    <cellStyle name="Normal 4 5 9" xfId="136" xr:uid="{00000000-0005-0000-0000-000023020000}"/>
    <cellStyle name="Normal 4 6" xfId="60" xr:uid="{00000000-0005-0000-0000-000024020000}"/>
    <cellStyle name="Normal 4 6 2" xfId="204" xr:uid="{00000000-0005-0000-0000-000025020000}"/>
    <cellStyle name="Normal 4 6 3" xfId="270" xr:uid="{00000000-0005-0000-0000-000026020000}"/>
    <cellStyle name="Normal 4 6 4" xfId="335" xr:uid="{00000000-0005-0000-0000-000027020000}"/>
    <cellStyle name="Normal 4 6 5" xfId="401" xr:uid="{00000000-0005-0000-0000-000028020000}"/>
    <cellStyle name="Normal 4 6 6" xfId="466" xr:uid="{00000000-0005-0000-0000-000029020000}"/>
    <cellStyle name="Normal 4 6 7" xfId="531" xr:uid="{00000000-0005-0000-0000-00002A020000}"/>
    <cellStyle name="Normal 4 6 8" xfId="598" xr:uid="{00000000-0005-0000-0000-00002B020000}"/>
    <cellStyle name="Normal 4 6 9" xfId="138" xr:uid="{00000000-0005-0000-0000-00002C020000}"/>
    <cellStyle name="Normal 4 7" xfId="187" xr:uid="{00000000-0005-0000-0000-00002D020000}"/>
    <cellStyle name="Normal 4 8" xfId="253" xr:uid="{00000000-0005-0000-0000-00002E020000}"/>
    <cellStyle name="Normal 4 9" xfId="318" xr:uid="{00000000-0005-0000-0000-00002F020000}"/>
    <cellStyle name="Normal 5" xfId="7" xr:uid="{00000000-0005-0000-0000-000030020000}"/>
    <cellStyle name="Normal 5 2" xfId="152" xr:uid="{00000000-0005-0000-0000-000031020000}"/>
    <cellStyle name="Normal 5 3" xfId="218" xr:uid="{00000000-0005-0000-0000-000032020000}"/>
    <cellStyle name="Normal 5 4" xfId="283" xr:uid="{00000000-0005-0000-0000-000033020000}"/>
    <cellStyle name="Normal 5 5" xfId="349" xr:uid="{00000000-0005-0000-0000-000034020000}"/>
    <cellStyle name="Normal 5 6" xfId="414" xr:uid="{00000000-0005-0000-0000-000035020000}"/>
    <cellStyle name="Normal 5 7" xfId="479" xr:uid="{00000000-0005-0000-0000-000036020000}"/>
    <cellStyle name="Normal 5 8" xfId="546" xr:uid="{00000000-0005-0000-0000-000037020000}"/>
    <cellStyle name="Normal 5 9" xfId="85" xr:uid="{00000000-0005-0000-0000-000038020000}"/>
    <cellStyle name="Normal 6" xfId="49" xr:uid="{00000000-0005-0000-0000-000039020000}"/>
    <cellStyle name="Normal 6 2" xfId="193" xr:uid="{00000000-0005-0000-0000-00003A020000}"/>
    <cellStyle name="Normal 6 3" xfId="259" xr:uid="{00000000-0005-0000-0000-00003B020000}"/>
    <cellStyle name="Normal 6 4" xfId="324" xr:uid="{00000000-0005-0000-0000-00003C020000}"/>
    <cellStyle name="Normal 6 5" xfId="390" xr:uid="{00000000-0005-0000-0000-00003D020000}"/>
    <cellStyle name="Normal 6 6" xfId="455" xr:uid="{00000000-0005-0000-0000-00003E020000}"/>
    <cellStyle name="Normal 6 7" xfId="520" xr:uid="{00000000-0005-0000-0000-00003F020000}"/>
    <cellStyle name="Normal 6 8" xfId="587" xr:uid="{00000000-0005-0000-0000-000040020000}"/>
    <cellStyle name="Normal 6 9" xfId="127" xr:uid="{00000000-0005-0000-0000-000041020000}"/>
    <cellStyle name="Normal 7" xfId="8" xr:uid="{00000000-0005-0000-0000-000042020000}"/>
    <cellStyle name="Normal 7 2" xfId="153" xr:uid="{00000000-0005-0000-0000-000043020000}"/>
    <cellStyle name="Normal 7 3" xfId="219" xr:uid="{00000000-0005-0000-0000-000044020000}"/>
    <cellStyle name="Normal 7 4" xfId="284" xr:uid="{00000000-0005-0000-0000-000045020000}"/>
    <cellStyle name="Normal 7 5" xfId="350" xr:uid="{00000000-0005-0000-0000-000046020000}"/>
    <cellStyle name="Normal 7 6" xfId="415" xr:uid="{00000000-0005-0000-0000-000047020000}"/>
    <cellStyle name="Normal 7 7" xfId="480" xr:uid="{00000000-0005-0000-0000-000048020000}"/>
    <cellStyle name="Normal 7 8" xfId="547" xr:uid="{00000000-0005-0000-0000-000049020000}"/>
    <cellStyle name="Normal 7 9" xfId="86" xr:uid="{00000000-0005-0000-0000-00004A020000}"/>
    <cellStyle name="Normal 8" xfId="51" xr:uid="{00000000-0005-0000-0000-00004B020000}"/>
    <cellStyle name="Normal 8 2" xfId="195" xr:uid="{00000000-0005-0000-0000-00004C020000}"/>
    <cellStyle name="Normal 8 3" xfId="261" xr:uid="{00000000-0005-0000-0000-00004D020000}"/>
    <cellStyle name="Normal 8 4" xfId="326" xr:uid="{00000000-0005-0000-0000-00004E020000}"/>
    <cellStyle name="Normal 8 5" xfId="392" xr:uid="{00000000-0005-0000-0000-00004F020000}"/>
    <cellStyle name="Normal 8 6" xfId="457" xr:uid="{00000000-0005-0000-0000-000050020000}"/>
    <cellStyle name="Normal 8 7" xfId="522" xr:uid="{00000000-0005-0000-0000-000051020000}"/>
    <cellStyle name="Normal 8 8" xfId="589" xr:uid="{00000000-0005-0000-0000-000052020000}"/>
    <cellStyle name="Normal 8 9" xfId="129" xr:uid="{00000000-0005-0000-0000-000053020000}"/>
    <cellStyle name="Normal 83" xfId="77" xr:uid="{00000000-0005-0000-0000-000054020000}"/>
    <cellStyle name="Normal 83 2" xfId="607" xr:uid="{00000000-0005-0000-0000-000055020000}"/>
    <cellStyle name="Normal 9" xfId="57" xr:uid="{00000000-0005-0000-0000-000056020000}"/>
    <cellStyle name="Normal 9 2" xfId="201" xr:uid="{00000000-0005-0000-0000-000057020000}"/>
    <cellStyle name="Normal 9 3" xfId="267" xr:uid="{00000000-0005-0000-0000-000058020000}"/>
    <cellStyle name="Normal 9 4" xfId="332" xr:uid="{00000000-0005-0000-0000-000059020000}"/>
    <cellStyle name="Normal 9 5" xfId="398" xr:uid="{00000000-0005-0000-0000-00005A020000}"/>
    <cellStyle name="Normal 9 6" xfId="463" xr:uid="{00000000-0005-0000-0000-00005B020000}"/>
    <cellStyle name="Normal 9 7" xfId="528" xr:uid="{00000000-0005-0000-0000-00005C020000}"/>
    <cellStyle name="Normal 9 8" xfId="595" xr:uid="{00000000-0005-0000-0000-00005D020000}"/>
    <cellStyle name="Normal 9 9" xfId="135" xr:uid="{00000000-0005-0000-0000-00005E020000}"/>
    <cellStyle name="Porcentual 2" xfId="48" xr:uid="{00000000-0005-0000-0000-00005F020000}"/>
  </cellStyles>
  <dxfs count="9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CC"/>
      <color rgb="FFFF6699"/>
      <color rgb="FF3BC709"/>
      <color rgb="FFFF9900"/>
      <color rgb="FFFFCC00"/>
      <color rgb="FFFF00FF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A282"/>
  <sheetViews>
    <sheetView tabSelected="1" view="pageBreakPreview" topLeftCell="O95" zoomScale="70" zoomScaleNormal="100" zoomScaleSheetLayoutView="70" zoomScalePageLayoutView="50" workbookViewId="0">
      <selection activeCell="AQ61" sqref="AQ61"/>
    </sheetView>
  </sheetViews>
  <sheetFormatPr baseColWidth="10" defaultColWidth="11.42578125" defaultRowHeight="33" x14ac:dyDescent="0.35"/>
  <cols>
    <col min="1" max="3" width="10.5703125" style="10" hidden="1" customWidth="1"/>
    <col min="4" max="4" width="19.85546875" style="10" bestFit="1" customWidth="1"/>
    <col min="5" max="6" width="16.28515625" style="7" customWidth="1"/>
    <col min="7" max="7" width="23.140625" style="7" customWidth="1"/>
    <col min="8" max="8" width="15.85546875" style="7" customWidth="1"/>
    <col min="9" max="9" width="15.28515625" style="7" bestFit="1" customWidth="1"/>
    <col min="10" max="10" width="15.28515625" style="7" customWidth="1"/>
    <col min="11" max="11" width="15.140625" style="7" customWidth="1"/>
    <col min="12" max="12" width="2.85546875" style="10" customWidth="1"/>
    <col min="13" max="13" width="8.7109375" style="23" customWidth="1"/>
    <col min="14" max="14" width="23" style="193" customWidth="1"/>
    <col min="15" max="15" width="11.85546875" style="23" customWidth="1"/>
    <col min="16" max="16" width="16.42578125" style="191" customWidth="1"/>
    <col min="17" max="17" width="10" style="9" customWidth="1"/>
    <col min="18" max="18" width="9.7109375" style="9" customWidth="1"/>
    <col min="19" max="21" width="9.5703125" style="9" customWidth="1"/>
    <col min="22" max="22" width="9.7109375" style="9" customWidth="1"/>
    <col min="23" max="23" width="10" style="9" customWidth="1"/>
    <col min="24" max="24" width="12" style="9" customWidth="1"/>
    <col min="25" max="25" width="10.7109375" style="9" customWidth="1"/>
    <col min="26" max="26" width="9.5703125" style="9" customWidth="1"/>
    <col min="27" max="27" width="9.7109375" style="9" customWidth="1"/>
    <col min="28" max="28" width="11.140625" style="9" customWidth="1"/>
    <col min="29" max="29" width="10" style="9" customWidth="1"/>
    <col min="30" max="30" width="9.5703125" style="9" customWidth="1"/>
    <col min="31" max="31" width="9.7109375" style="9" customWidth="1"/>
    <col min="32" max="32" width="10.140625" style="10" customWidth="1"/>
    <col min="33" max="33" width="11.42578125" style="9" customWidth="1"/>
    <col min="34" max="35" width="10.140625" style="9" customWidth="1"/>
    <col min="36" max="37" width="10" style="9" customWidth="1"/>
    <col min="38" max="38" width="10.140625" style="22" customWidth="1"/>
    <col min="39" max="39" width="10.140625" style="9" customWidth="1"/>
    <col min="40" max="40" width="9.85546875" style="9" customWidth="1"/>
    <col min="41" max="41" width="1.42578125" style="9" customWidth="1"/>
    <col min="42" max="42" width="13" style="337" customWidth="1"/>
    <col min="43" max="43" width="12.28515625" style="8" customWidth="1"/>
    <col min="44" max="44" width="17.28515625" style="10" customWidth="1"/>
    <col min="45" max="45" width="22.85546875" style="257" customWidth="1"/>
    <col min="46" max="47" width="14" style="10" customWidth="1"/>
    <col min="48" max="48" width="18.85546875" style="10" customWidth="1"/>
    <col min="49" max="49" width="33.42578125" style="10" customWidth="1"/>
    <col min="50" max="16384" width="11.42578125" style="10"/>
  </cols>
  <sheetData>
    <row r="1" spans="1:53" ht="45" x14ac:dyDescent="0.35">
      <c r="L1" s="60"/>
      <c r="AP1" s="400" t="s">
        <v>179</v>
      </c>
      <c r="AQ1" s="401"/>
      <c r="AR1" s="401"/>
      <c r="AS1" s="402"/>
    </row>
    <row r="2" spans="1:53" ht="61.5" customHeight="1" x14ac:dyDescent="0.3">
      <c r="D2" s="400" t="str">
        <f>AP1</f>
        <v>VIERNES</v>
      </c>
      <c r="E2" s="401"/>
      <c r="F2" s="401"/>
      <c r="G2" s="401"/>
      <c r="H2" s="401"/>
      <c r="I2" s="401"/>
      <c r="J2" s="401"/>
      <c r="K2" s="402"/>
      <c r="M2" s="255"/>
      <c r="O2" s="395" t="s">
        <v>98</v>
      </c>
      <c r="P2" s="396"/>
      <c r="Q2" s="396"/>
      <c r="R2" s="396"/>
      <c r="S2" s="396"/>
      <c r="T2" s="396"/>
      <c r="U2" s="396"/>
      <c r="V2" s="396"/>
      <c r="W2" s="396"/>
      <c r="X2" s="396"/>
      <c r="Y2" s="396"/>
      <c r="Z2" s="100"/>
      <c r="AA2" s="397" t="s">
        <v>97</v>
      </c>
      <c r="AB2" s="397"/>
      <c r="AC2" s="397"/>
      <c r="AD2" s="397"/>
      <c r="AE2" s="397"/>
      <c r="AF2" s="397"/>
      <c r="AG2" s="397"/>
      <c r="AH2" s="397"/>
      <c r="AI2" s="100"/>
      <c r="AJ2" s="101"/>
      <c r="AK2" s="179" t="s">
        <v>15</v>
      </c>
      <c r="AL2" s="179" t="s">
        <v>87</v>
      </c>
      <c r="AM2" s="179" t="s">
        <v>16</v>
      </c>
      <c r="AN2" s="64" t="s">
        <v>17</v>
      </c>
      <c r="AP2" s="415" t="s">
        <v>185</v>
      </c>
      <c r="AQ2" s="415" t="s">
        <v>185</v>
      </c>
      <c r="AR2" s="122"/>
      <c r="AS2" s="340" t="s">
        <v>1</v>
      </c>
      <c r="AX2" s="60"/>
    </row>
    <row r="3" spans="1:53" ht="56.25" customHeight="1" x14ac:dyDescent="0.2">
      <c r="D3" s="412" t="s">
        <v>119</v>
      </c>
      <c r="E3" s="413"/>
      <c r="F3" s="413"/>
      <c r="G3" s="413"/>
      <c r="H3" s="413"/>
      <c r="I3" s="413"/>
      <c r="J3" s="413"/>
      <c r="K3" s="414"/>
      <c r="L3" s="117"/>
      <c r="M3" s="256" t="s">
        <v>101</v>
      </c>
      <c r="N3" s="194" t="s">
        <v>102</v>
      </c>
      <c r="O3" s="217" t="s">
        <v>35</v>
      </c>
      <c r="P3" s="210" t="s">
        <v>91</v>
      </c>
      <c r="Q3" s="49" t="s">
        <v>92</v>
      </c>
      <c r="R3" s="49" t="s">
        <v>20</v>
      </c>
      <c r="S3" s="48" t="s">
        <v>21</v>
      </c>
      <c r="T3" s="50" t="s">
        <v>93</v>
      </c>
      <c r="U3" s="51" t="s">
        <v>18</v>
      </c>
      <c r="V3" s="49" t="s">
        <v>22</v>
      </c>
      <c r="W3" s="49" t="s">
        <v>23</v>
      </c>
      <c r="X3" s="49" t="s">
        <v>24</v>
      </c>
      <c r="Y3" s="49" t="s">
        <v>94</v>
      </c>
      <c r="Z3" s="52" t="s">
        <v>10</v>
      </c>
      <c r="AA3" s="49" t="s">
        <v>26</v>
      </c>
      <c r="AB3" s="49" t="s">
        <v>27</v>
      </c>
      <c r="AC3" s="49" t="s">
        <v>28</v>
      </c>
      <c r="AD3" s="48" t="s">
        <v>95</v>
      </c>
      <c r="AE3" s="48" t="s">
        <v>12</v>
      </c>
      <c r="AF3" s="53" t="s">
        <v>29</v>
      </c>
      <c r="AG3" s="285" t="s">
        <v>30</v>
      </c>
      <c r="AH3" s="94" t="s">
        <v>96</v>
      </c>
      <c r="AI3" s="50" t="s">
        <v>31</v>
      </c>
      <c r="AJ3" s="50" t="s">
        <v>32</v>
      </c>
      <c r="AK3" s="165" t="s">
        <v>86</v>
      </c>
      <c r="AL3" s="165" t="s">
        <v>13</v>
      </c>
      <c r="AM3" s="54" t="s">
        <v>14</v>
      </c>
      <c r="AN3" s="55"/>
      <c r="AO3" s="106"/>
      <c r="AP3" s="416">
        <v>2</v>
      </c>
      <c r="AQ3" s="416">
        <v>8</v>
      </c>
      <c r="AR3" s="6">
        <f t="shared" ref="AR3:AR65" ca="1" si="0">VALUE(Solo_Numeros(AQ3))</f>
        <v>8</v>
      </c>
      <c r="AS3" s="341" t="s">
        <v>103</v>
      </c>
    </row>
    <row r="4" spans="1:53" customFormat="1" ht="24" customHeight="1" x14ac:dyDescent="0.35">
      <c r="A4" s="11" t="s">
        <v>33</v>
      </c>
      <c r="B4" s="91"/>
      <c r="C4" s="91"/>
      <c r="D4" s="295" t="s">
        <v>118</v>
      </c>
      <c r="E4" s="296">
        <v>0.21527777777777779</v>
      </c>
      <c r="F4" s="296">
        <v>0.2673611111111111</v>
      </c>
      <c r="G4" s="297" t="str">
        <f ca="1">N10</f>
        <v>Ferrutja</v>
      </c>
      <c r="H4" s="298"/>
      <c r="I4" s="298"/>
      <c r="J4" s="298"/>
      <c r="K4" s="298"/>
      <c r="L4" s="92"/>
      <c r="M4" s="102">
        <v>10</v>
      </c>
      <c r="N4" s="195" t="str">
        <f ca="1">VLOOKUP(M4,$AR$2:$AS$80,2,FALSE)</f>
        <v>Kiko</v>
      </c>
      <c r="O4" s="218">
        <v>34901</v>
      </c>
      <c r="P4" s="211">
        <v>0.21527777777777779</v>
      </c>
      <c r="Q4" s="147">
        <f>+P4+"00:01"</f>
        <v>0.21597222222222223</v>
      </c>
      <c r="R4" s="147">
        <f>+Q4+"00:01"</f>
        <v>0.21666666666666667</v>
      </c>
      <c r="S4" s="147">
        <f t="shared" ref="S4:U4" si="1">+R4+"00:01"</f>
        <v>0.21736111111111112</v>
      </c>
      <c r="T4" s="147">
        <f t="shared" si="1"/>
        <v>0.21805555555555556</v>
      </c>
      <c r="U4" s="147">
        <f t="shared" si="1"/>
        <v>0.21875</v>
      </c>
      <c r="V4" s="148">
        <f>+U4+"00:02"</f>
        <v>0.22013888888888888</v>
      </c>
      <c r="W4" s="148">
        <f>+V4+"00:01"</f>
        <v>0.22083333333333333</v>
      </c>
      <c r="X4" s="148">
        <f>SUM(W4+"0:01")</f>
        <v>0.22152777777777777</v>
      </c>
      <c r="Y4" s="148">
        <f>SUM(X4+"0:01")</f>
        <v>0.22222222222222221</v>
      </c>
      <c r="Z4" s="148">
        <f t="shared" ref="Z4" si="2">SUM(Y4+"0:02")</f>
        <v>0.22361111111111109</v>
      </c>
      <c r="AA4" s="148">
        <f>SUM(Z4+"0:01")</f>
        <v>0.22430555555555554</v>
      </c>
      <c r="AB4" s="148">
        <f>SUM(AA4+"0:04")</f>
        <v>0.2270833333333333</v>
      </c>
      <c r="AC4" s="148">
        <f t="shared" ref="AC4:AE4" si="3">SUM(AB4+"0:03")</f>
        <v>0.22916666666666663</v>
      </c>
      <c r="AD4" s="148">
        <f t="shared" si="3"/>
        <v>0.23124999999999996</v>
      </c>
      <c r="AE4" s="148">
        <f t="shared" si="3"/>
        <v>0.23333333333333328</v>
      </c>
      <c r="AF4" s="154">
        <f>SUM(AE4+"0:04")</f>
        <v>0.23611111111111105</v>
      </c>
      <c r="AG4" s="286">
        <f>+AF4+"0:01"</f>
        <v>0.23680555555555549</v>
      </c>
      <c r="AH4" s="150">
        <f>+AG4+"00:01"</f>
        <v>0.23749999999999993</v>
      </c>
      <c r="AI4" s="150">
        <f>SUM(AG4+"0:04")</f>
        <v>0.23958333333333326</v>
      </c>
      <c r="AJ4" s="150">
        <f>AI4</f>
        <v>0.23958333333333326</v>
      </c>
      <c r="AK4" s="150">
        <f>AJ4+"0:08"</f>
        <v>0.24513888888888882</v>
      </c>
      <c r="AL4" s="158">
        <f>AK4+"0:04"</f>
        <v>0.24791666666666659</v>
      </c>
      <c r="AM4" s="103">
        <f>AL4+"0:06"</f>
        <v>0.25208333333333327</v>
      </c>
      <c r="AN4" s="104">
        <f>AM4+"0:09"</f>
        <v>0.25833333333333325</v>
      </c>
      <c r="AO4" s="107"/>
      <c r="AP4" s="417">
        <v>11</v>
      </c>
      <c r="AQ4" s="417">
        <v>5</v>
      </c>
      <c r="AR4" s="6">
        <f t="shared" ca="1" si="0"/>
        <v>5</v>
      </c>
      <c r="AS4" s="341" t="s">
        <v>90</v>
      </c>
      <c r="AU4" s="10"/>
      <c r="AV4" s="10"/>
      <c r="AW4" s="10"/>
      <c r="AX4" s="10"/>
      <c r="AY4" s="10"/>
      <c r="AZ4" s="10"/>
      <c r="BA4" s="10"/>
    </row>
    <row r="5" spans="1:53" customFormat="1" ht="24" customHeight="1" x14ac:dyDescent="0.45">
      <c r="A5" s="11" t="s">
        <v>33</v>
      </c>
      <c r="B5" s="91"/>
      <c r="C5" s="91"/>
      <c r="D5" s="299"/>
      <c r="E5" s="298"/>
      <c r="F5" s="300" t="s">
        <v>120</v>
      </c>
      <c r="G5" s="301">
        <v>0.22916666666666666</v>
      </c>
      <c r="H5" s="302">
        <v>0.27083333333333331</v>
      </c>
      <c r="I5" s="303" t="str">
        <f ca="1">N30</f>
        <v>Manu</v>
      </c>
      <c r="J5" s="298"/>
      <c r="K5" s="298"/>
      <c r="L5" s="92"/>
      <c r="M5" s="102">
        <v>201</v>
      </c>
      <c r="N5" s="195" t="str">
        <f t="shared" ref="N5:N68" ca="1" si="4">VLOOKUP(M5,$AR$2:$AS$80,2,FALSE)</f>
        <v>Pere Estrany</v>
      </c>
      <c r="O5" s="219">
        <v>7001</v>
      </c>
      <c r="P5" s="212"/>
      <c r="Q5" s="65"/>
      <c r="R5" s="65"/>
      <c r="S5" s="65"/>
      <c r="T5" s="65"/>
      <c r="U5" s="66"/>
      <c r="V5" s="65"/>
      <c r="W5" s="65"/>
      <c r="X5" s="65"/>
      <c r="Y5" s="65"/>
      <c r="Z5" s="67"/>
      <c r="AA5" s="65"/>
      <c r="AB5" s="65"/>
      <c r="AC5" s="65"/>
      <c r="AD5" s="65"/>
      <c r="AE5" s="65"/>
      <c r="AF5" s="155"/>
      <c r="AG5" s="287">
        <v>0.23263888888888887</v>
      </c>
      <c r="AH5" s="68">
        <f t="shared" ref="AH5" si="5">+AG5+"00:01"</f>
        <v>0.23333333333333331</v>
      </c>
      <c r="AI5" s="68">
        <f>AG5+"0:04"</f>
        <v>0.23541666666666664</v>
      </c>
      <c r="AJ5" s="68">
        <f>AI5</f>
        <v>0.23541666666666664</v>
      </c>
      <c r="AK5" s="68">
        <f t="shared" ref="AK5:AM5" si="6">AJ5+"0:04"</f>
        <v>0.2381944444444444</v>
      </c>
      <c r="AL5" s="68">
        <f t="shared" si="6"/>
        <v>0.24097222222222217</v>
      </c>
      <c r="AM5" s="69">
        <f t="shared" si="6"/>
        <v>0.24374999999999994</v>
      </c>
      <c r="AN5" s="80"/>
      <c r="AO5" s="107"/>
      <c r="AP5" s="418" t="s">
        <v>182</v>
      </c>
      <c r="AQ5" s="418" t="s">
        <v>182</v>
      </c>
      <c r="AR5" s="6" t="e">
        <f t="shared" ca="1" si="0"/>
        <v>#VALUE!</v>
      </c>
      <c r="AS5" s="341" t="s">
        <v>104</v>
      </c>
      <c r="AU5" s="10"/>
      <c r="AV5" s="10"/>
      <c r="AW5" s="10"/>
      <c r="AX5" s="10"/>
      <c r="AY5" s="10"/>
      <c r="AZ5" s="10"/>
      <c r="BA5" s="10"/>
    </row>
    <row r="6" spans="1:53" customFormat="1" ht="24" customHeight="1" x14ac:dyDescent="0.45">
      <c r="A6" s="11" t="s">
        <v>34</v>
      </c>
      <c r="B6" s="91"/>
      <c r="C6" s="91"/>
      <c r="D6" s="299"/>
      <c r="E6" s="298"/>
      <c r="F6" s="298"/>
      <c r="G6" s="304" t="s">
        <v>121</v>
      </c>
      <c r="H6" s="302">
        <v>0.27430555555555558</v>
      </c>
      <c r="I6" s="302">
        <v>0.34375</v>
      </c>
      <c r="J6" s="303" t="str">
        <f ca="1">N21</f>
        <v>Mika</v>
      </c>
      <c r="K6" s="298"/>
      <c r="L6" s="92"/>
      <c r="M6" s="102">
        <v>31</v>
      </c>
      <c r="N6" s="195" t="str">
        <f t="shared" ca="1" si="4"/>
        <v>Juan Rigo</v>
      </c>
      <c r="O6" s="220">
        <v>4701</v>
      </c>
      <c r="P6" s="213">
        <v>0.23958333333333334</v>
      </c>
      <c r="Q6" s="149">
        <f>SUM(P6+"0:01")</f>
        <v>0.24027777777777778</v>
      </c>
      <c r="R6" s="149">
        <f t="shared" ref="R6" si="7">SUM(Q6+"0:02")</f>
        <v>0.24166666666666667</v>
      </c>
      <c r="S6" s="149">
        <f>SUM(R6+"0:02")</f>
        <v>0.24305555555555555</v>
      </c>
      <c r="T6" s="149">
        <f>SUM(S6+"0:01")</f>
        <v>0.24374999999999999</v>
      </c>
      <c r="U6" s="150">
        <f t="shared" ref="U6" si="8">SUM(S6+"0:01")</f>
        <v>0.24374999999999999</v>
      </c>
      <c r="V6" s="149">
        <f t="shared" ref="V6:W6" si="9">SUM(U6+"0:01")</f>
        <v>0.24444444444444444</v>
      </c>
      <c r="W6" s="149">
        <f t="shared" si="9"/>
        <v>0.24513888888888888</v>
      </c>
      <c r="X6" s="149">
        <f t="shared" ref="X6:Z6" si="10">SUM(W6+"0:02")</f>
        <v>0.24652777777777776</v>
      </c>
      <c r="Y6" s="149">
        <f>SUM(X6+"0:03")</f>
        <v>0.24861111111111109</v>
      </c>
      <c r="Z6" s="151">
        <f t="shared" si="10"/>
        <v>0.24999999999999997</v>
      </c>
      <c r="AA6" s="149">
        <f>SUM(Z6+"0:03")</f>
        <v>0.25208333333333333</v>
      </c>
      <c r="AB6" s="149">
        <f t="shared" ref="AB6" si="11">SUM(AA6+"0:05")</f>
        <v>0.25555555555555554</v>
      </c>
      <c r="AC6" s="149">
        <f t="shared" ref="AC6:AE6" si="12">SUM(AB6+"0:03")</f>
        <v>0.25763888888888886</v>
      </c>
      <c r="AD6" s="149">
        <f t="shared" si="12"/>
        <v>0.25972222222222219</v>
      </c>
      <c r="AE6" s="149">
        <f t="shared" si="12"/>
        <v>0.26180555555555551</v>
      </c>
      <c r="AF6" s="156">
        <f t="shared" ref="AF6" si="13">SUM(AE6+"0:04")</f>
        <v>0.26458333333333328</v>
      </c>
      <c r="AG6" s="288">
        <f>SUM(AF6+"0:02")</f>
        <v>0.26597222222222217</v>
      </c>
      <c r="AH6" s="159">
        <f>SUM(AG6+"0:01")</f>
        <v>0.26666666666666661</v>
      </c>
      <c r="AI6" s="159">
        <f>SUM(AH6+"0:04")</f>
        <v>0.26944444444444438</v>
      </c>
      <c r="AJ6" s="159">
        <f>SUM(AI6+"0:01")</f>
        <v>0.27013888888888882</v>
      </c>
      <c r="AK6" s="159">
        <f>SUM(AJ6+"0:04")</f>
        <v>0.27291666666666659</v>
      </c>
      <c r="AL6" s="159">
        <f>SUM(AK6+"0:04")</f>
        <v>0.27569444444444435</v>
      </c>
      <c r="AM6" s="71">
        <f>SUM(AL6+"0:04")</f>
        <v>0.27847222222222212</v>
      </c>
      <c r="AN6" s="95"/>
      <c r="AO6" s="107"/>
      <c r="AP6" s="419">
        <v>151</v>
      </c>
      <c r="AQ6" s="419">
        <v>16</v>
      </c>
      <c r="AR6" s="6">
        <f t="shared" ca="1" si="0"/>
        <v>16</v>
      </c>
      <c r="AS6" s="342" t="s">
        <v>105</v>
      </c>
      <c r="AU6" s="10"/>
      <c r="AV6" s="10"/>
      <c r="AW6" s="10"/>
      <c r="AX6" s="10"/>
      <c r="AY6" s="10"/>
      <c r="AZ6" s="10"/>
      <c r="BA6" s="10"/>
    </row>
    <row r="7" spans="1:53" customFormat="1" ht="24" customHeight="1" x14ac:dyDescent="0.45">
      <c r="A7" s="11"/>
      <c r="B7" s="91"/>
      <c r="C7" s="91"/>
      <c r="D7" s="299"/>
      <c r="E7" s="298"/>
      <c r="F7" s="298"/>
      <c r="G7" s="298"/>
      <c r="H7" s="304" t="s">
        <v>122</v>
      </c>
      <c r="I7" s="305">
        <v>0.27777777777777779</v>
      </c>
      <c r="J7" s="305">
        <v>0.2986111111111111</v>
      </c>
      <c r="K7" s="303" t="str">
        <f ca="1">N15</f>
        <v>Troskis</v>
      </c>
      <c r="L7" s="92"/>
      <c r="M7" s="102">
        <v>154</v>
      </c>
      <c r="N7" s="195" t="e">
        <f t="shared" ca="1" si="4"/>
        <v>#N/A</v>
      </c>
      <c r="O7" s="221">
        <v>4501</v>
      </c>
      <c r="P7" s="214">
        <v>0.24652777777777779</v>
      </c>
      <c r="Q7" s="149">
        <f t="shared" ref="Q7" si="14">SUM(P7+"0:01")</f>
        <v>0.24722222222222223</v>
      </c>
      <c r="R7" s="149">
        <f t="shared" ref="R7" si="15">SUM(Q7+"0:02")</f>
        <v>0.24861111111111112</v>
      </c>
      <c r="S7" s="149">
        <f>SUM(R7+"0:02")</f>
        <v>0.25</v>
      </c>
      <c r="T7" s="149">
        <f>SUM(S7+"0:01")</f>
        <v>0.25069444444444444</v>
      </c>
      <c r="U7" s="150">
        <f t="shared" ref="U7" si="16">SUM(S7+"0:01")</f>
        <v>0.25069444444444444</v>
      </c>
      <c r="V7" s="149">
        <f t="shared" ref="V7" si="17">SUM(U7+"0:01")</f>
        <v>0.25138888888888888</v>
      </c>
      <c r="W7" s="149">
        <f t="shared" ref="W7" si="18">SUM(V7+"0:01")</f>
        <v>0.25208333333333333</v>
      </c>
      <c r="X7" s="149">
        <f t="shared" ref="X7" si="19">SUM(W7+"0:02")</f>
        <v>0.25347222222222221</v>
      </c>
      <c r="Y7" s="149">
        <f>SUM(X7+"0:03")</f>
        <v>0.25555555555555554</v>
      </c>
      <c r="Z7" s="151">
        <f t="shared" ref="Z7" si="20">SUM(Y7+"0:02")</f>
        <v>0.25694444444444442</v>
      </c>
      <c r="AA7" s="149">
        <f>SUM(Z7+"0:03")</f>
        <v>0.25902777777777775</v>
      </c>
      <c r="AB7" s="149">
        <f t="shared" ref="AB7" si="21">SUM(AA7+"0:05")</f>
        <v>0.26249999999999996</v>
      </c>
      <c r="AC7" s="149">
        <f t="shared" ref="AC7" si="22">SUM(AB7+"0:03")</f>
        <v>0.26458333333333328</v>
      </c>
      <c r="AD7" s="149">
        <f t="shared" ref="AD7" si="23">SUM(AC7+"0:03")</f>
        <v>0.26666666666666661</v>
      </c>
      <c r="AE7" s="149">
        <f t="shared" ref="AE7" si="24">SUM(AD7+"0:03")</f>
        <v>0.26874999999999993</v>
      </c>
      <c r="AF7" s="157">
        <f t="shared" ref="AF7" si="25">SUM(AE7+"0:04")</f>
        <v>0.2715277777777777</v>
      </c>
      <c r="AG7" s="289"/>
      <c r="AH7" s="73"/>
      <c r="AI7" s="73"/>
      <c r="AJ7" s="73"/>
      <c r="AK7" s="73"/>
      <c r="AL7" s="73"/>
      <c r="AM7" s="73"/>
      <c r="AN7" s="87"/>
      <c r="AO7" s="107"/>
      <c r="AP7" s="415" t="s">
        <v>183</v>
      </c>
      <c r="AQ7" s="415" t="s">
        <v>183</v>
      </c>
      <c r="AR7" s="6" t="e">
        <f t="shared" ca="1" si="0"/>
        <v>#VALUE!</v>
      </c>
      <c r="AS7" s="342" t="s">
        <v>89</v>
      </c>
      <c r="AU7" s="10"/>
      <c r="AV7" s="10"/>
      <c r="AW7" s="10"/>
      <c r="AX7" s="10"/>
      <c r="AY7" s="10"/>
      <c r="AZ7" s="10"/>
      <c r="BA7" s="10"/>
    </row>
    <row r="8" spans="1:53" customFormat="1" ht="24" customHeight="1" x14ac:dyDescent="0.45">
      <c r="A8" s="11">
        <v>91</v>
      </c>
      <c r="B8" s="91"/>
      <c r="C8" s="91"/>
      <c r="D8" s="299"/>
      <c r="E8" s="298"/>
      <c r="F8" s="298"/>
      <c r="G8" s="298"/>
      <c r="H8" s="298"/>
      <c r="I8" s="298"/>
      <c r="J8" s="298"/>
      <c r="K8" s="298"/>
      <c r="L8" s="92"/>
      <c r="M8" s="102">
        <v>3</v>
      </c>
      <c r="N8" s="195" t="str">
        <f t="shared" ca="1" si="4"/>
        <v xml:space="preserve">Eugenio </v>
      </c>
      <c r="O8" s="222">
        <v>4901</v>
      </c>
      <c r="P8" s="214">
        <v>0.25347222222222221</v>
      </c>
      <c r="Q8" s="149">
        <f t="shared" ref="Q8:Q15" si="26">SUM(P8+"0:01")</f>
        <v>0.25416666666666665</v>
      </c>
      <c r="R8" s="149">
        <f t="shared" ref="R8:R15" si="27">SUM(Q8+"0:02")</f>
        <v>0.25555555555555554</v>
      </c>
      <c r="S8" s="149">
        <f t="shared" ref="S8:S71" si="28">SUM(R8+"0:02")</f>
        <v>0.25694444444444442</v>
      </c>
      <c r="T8" s="149">
        <f t="shared" ref="T8:T71" si="29">SUM(S8+"0:01")</f>
        <v>0.25763888888888886</v>
      </c>
      <c r="U8" s="150">
        <f t="shared" ref="U8:U15" si="30">SUM(S8+"0:01")</f>
        <v>0.25763888888888886</v>
      </c>
      <c r="V8" s="149">
        <f t="shared" ref="V8:V15" si="31">SUM(U8+"0:01")</f>
        <v>0.2583333333333333</v>
      </c>
      <c r="W8" s="149">
        <f t="shared" ref="W8:W15" si="32">SUM(V8+"0:01")</f>
        <v>0.25902777777777775</v>
      </c>
      <c r="X8" s="149">
        <f t="shared" ref="X8:X15" si="33">SUM(W8+"0:02")</f>
        <v>0.26041666666666663</v>
      </c>
      <c r="Y8" s="149">
        <f t="shared" ref="Y8:Y71" si="34">SUM(X8+"0:03")</f>
        <v>0.26249999999999996</v>
      </c>
      <c r="Z8" s="151">
        <f t="shared" ref="Z8:Z15" si="35">SUM(Y8+"0:02")</f>
        <v>0.26388888888888884</v>
      </c>
      <c r="AA8" s="149">
        <f t="shared" ref="AA8:AA71" si="36">SUM(Z8+"0:03")</f>
        <v>0.26597222222222217</v>
      </c>
      <c r="AB8" s="149">
        <f t="shared" ref="AB8:AB15" si="37">SUM(AA8+"0:05")</f>
        <v>0.26944444444444438</v>
      </c>
      <c r="AC8" s="149">
        <f t="shared" ref="AC8:AC15" si="38">SUM(AB8+"0:03")</f>
        <v>0.2715277777777777</v>
      </c>
      <c r="AD8" s="149">
        <f t="shared" ref="AD8:AD15" si="39">SUM(AC8+"0:03")</f>
        <v>0.27361111111111103</v>
      </c>
      <c r="AE8" s="149">
        <f t="shared" ref="AE8:AE15" si="40">SUM(AD8+"0:03")</f>
        <v>0.27569444444444435</v>
      </c>
      <c r="AF8" s="156">
        <f t="shared" ref="AF8:AF15" si="41">SUM(AE8+"0:04")</f>
        <v>0.27847222222222212</v>
      </c>
      <c r="AG8" s="290">
        <f>SUM(AF8+"0:02")</f>
        <v>0.27986111111111101</v>
      </c>
      <c r="AH8" s="149">
        <f>SUM(AG8+"0:01")</f>
        <v>0.28055555555555545</v>
      </c>
      <c r="AI8" s="149">
        <f>SUM(AH8+"0:04")</f>
        <v>0.28333333333333321</v>
      </c>
      <c r="AJ8" s="149">
        <f>SUM(AI8+"0:00")</f>
        <v>0.28333333333333321</v>
      </c>
      <c r="AK8" s="149">
        <f>SUM(AJ8+"0:08")</f>
        <v>0.28888888888888875</v>
      </c>
      <c r="AL8" s="149">
        <f>SUM(AK8+"0:04")</f>
        <v>0.29166666666666652</v>
      </c>
      <c r="AM8" s="76">
        <f>SUM(AL8+"0:08")</f>
        <v>0.29722222222222205</v>
      </c>
      <c r="AN8" s="96">
        <f>SUM(AM8+"0:09")</f>
        <v>0.30347222222222203</v>
      </c>
      <c r="AO8" s="107"/>
      <c r="AP8" s="420" t="s">
        <v>186</v>
      </c>
      <c r="AQ8" s="420" t="s">
        <v>186</v>
      </c>
      <c r="AR8" s="6">
        <f t="shared" ca="1" si="0"/>
        <v>32</v>
      </c>
      <c r="AS8" s="342" t="s">
        <v>40</v>
      </c>
      <c r="AU8" s="10"/>
      <c r="AV8" s="10"/>
      <c r="AW8" s="10"/>
      <c r="AX8" s="10"/>
      <c r="AY8" s="10"/>
      <c r="AZ8" s="10"/>
      <c r="BA8" s="10"/>
    </row>
    <row r="9" spans="1:53" customFormat="1" ht="24" customHeight="1" x14ac:dyDescent="0.35">
      <c r="A9" s="11"/>
      <c r="B9" s="91"/>
      <c r="C9" s="91"/>
      <c r="D9" s="303" t="s">
        <v>123</v>
      </c>
      <c r="E9" s="302">
        <v>0.33680555555555558</v>
      </c>
      <c r="F9" s="302">
        <v>0.37847222222222221</v>
      </c>
      <c r="G9" s="303" t="str">
        <f ca="1">N11</f>
        <v>Ferriol</v>
      </c>
      <c r="H9" s="298"/>
      <c r="I9" s="298"/>
      <c r="J9" s="298"/>
      <c r="K9" s="298"/>
      <c r="L9" s="380"/>
      <c r="M9" s="102">
        <v>32</v>
      </c>
      <c r="N9" s="195" t="str">
        <f t="shared" ca="1" si="4"/>
        <v>Calafat</v>
      </c>
      <c r="O9" s="221">
        <f>O7+2</f>
        <v>4503</v>
      </c>
      <c r="P9" s="214">
        <f>+P7+"00:20"</f>
        <v>0.26041666666666669</v>
      </c>
      <c r="Q9" s="149">
        <f t="shared" si="26"/>
        <v>0.26111111111111113</v>
      </c>
      <c r="R9" s="149">
        <f t="shared" si="27"/>
        <v>0.26250000000000001</v>
      </c>
      <c r="S9" s="149">
        <f t="shared" si="28"/>
        <v>0.2638888888888889</v>
      </c>
      <c r="T9" s="149">
        <f t="shared" si="29"/>
        <v>0.26458333333333334</v>
      </c>
      <c r="U9" s="150">
        <f t="shared" si="30"/>
        <v>0.26458333333333334</v>
      </c>
      <c r="V9" s="149">
        <f t="shared" si="31"/>
        <v>0.26527777777777778</v>
      </c>
      <c r="W9" s="149">
        <f t="shared" si="32"/>
        <v>0.26597222222222222</v>
      </c>
      <c r="X9" s="149">
        <f t="shared" si="33"/>
        <v>0.2673611111111111</v>
      </c>
      <c r="Y9" s="149">
        <f t="shared" si="34"/>
        <v>0.26944444444444443</v>
      </c>
      <c r="Z9" s="151">
        <f t="shared" si="35"/>
        <v>0.27083333333333331</v>
      </c>
      <c r="AA9" s="149">
        <f t="shared" si="36"/>
        <v>0.27291666666666664</v>
      </c>
      <c r="AB9" s="149">
        <f t="shared" si="37"/>
        <v>0.27638888888888885</v>
      </c>
      <c r="AC9" s="149">
        <f t="shared" si="38"/>
        <v>0.27847222222222218</v>
      </c>
      <c r="AD9" s="149">
        <f t="shared" si="39"/>
        <v>0.2805555555555555</v>
      </c>
      <c r="AE9" s="149">
        <f t="shared" si="40"/>
        <v>0.28263888888888883</v>
      </c>
      <c r="AF9" s="157">
        <f t="shared" si="41"/>
        <v>0.2854166666666666</v>
      </c>
      <c r="AG9" s="289"/>
      <c r="AH9" s="73"/>
      <c r="AI9" s="77"/>
      <c r="AJ9" s="77"/>
      <c r="AK9" s="73"/>
      <c r="AL9" s="73"/>
      <c r="AM9" s="74"/>
      <c r="AN9" s="83"/>
      <c r="AO9" s="107"/>
      <c r="AP9" s="415">
        <v>19</v>
      </c>
      <c r="AQ9" s="415">
        <v>19</v>
      </c>
      <c r="AR9" s="6">
        <f t="shared" ca="1" si="0"/>
        <v>19</v>
      </c>
      <c r="AS9" s="342" t="s">
        <v>73</v>
      </c>
      <c r="AU9" s="10"/>
      <c r="AV9" s="10"/>
      <c r="AW9" s="10"/>
      <c r="AX9" s="10"/>
      <c r="AY9" s="10"/>
      <c r="AZ9" s="10"/>
      <c r="BA9" s="10"/>
    </row>
    <row r="10" spans="1:53" customFormat="1" ht="24" customHeight="1" x14ac:dyDescent="0.35">
      <c r="A10" s="11"/>
      <c r="B10" s="91"/>
      <c r="C10" s="91"/>
      <c r="D10" s="303" t="s">
        <v>124</v>
      </c>
      <c r="E10" s="302">
        <v>0.34791666666666665</v>
      </c>
      <c r="F10" s="302">
        <v>0.3923611111111111</v>
      </c>
      <c r="G10" s="303" t="str">
        <f ca="1">N13</f>
        <v>Salvador</v>
      </c>
      <c r="H10" s="298"/>
      <c r="I10" s="298"/>
      <c r="J10" s="298"/>
      <c r="K10" s="298"/>
      <c r="L10" s="380"/>
      <c r="M10" s="102">
        <v>5</v>
      </c>
      <c r="N10" s="195" t="str">
        <f t="shared" ca="1" si="4"/>
        <v>Ferrutja</v>
      </c>
      <c r="O10" s="220">
        <f>O6+2</f>
        <v>4703</v>
      </c>
      <c r="P10" s="213">
        <f>+P6+"00:40"</f>
        <v>0.2673611111111111</v>
      </c>
      <c r="Q10" s="149">
        <f t="shared" si="26"/>
        <v>0.26805555555555555</v>
      </c>
      <c r="R10" s="149">
        <f t="shared" si="27"/>
        <v>0.26944444444444443</v>
      </c>
      <c r="S10" s="149">
        <f t="shared" si="28"/>
        <v>0.27083333333333331</v>
      </c>
      <c r="T10" s="149">
        <f t="shared" si="29"/>
        <v>0.27152777777777776</v>
      </c>
      <c r="U10" s="150">
        <f t="shared" si="30"/>
        <v>0.27152777777777776</v>
      </c>
      <c r="V10" s="149">
        <f t="shared" si="31"/>
        <v>0.2722222222222222</v>
      </c>
      <c r="W10" s="149">
        <f t="shared" si="32"/>
        <v>0.27291666666666664</v>
      </c>
      <c r="X10" s="149">
        <f t="shared" si="33"/>
        <v>0.27430555555555552</v>
      </c>
      <c r="Y10" s="149">
        <f t="shared" si="34"/>
        <v>0.27638888888888885</v>
      </c>
      <c r="Z10" s="151">
        <f t="shared" si="35"/>
        <v>0.27777777777777773</v>
      </c>
      <c r="AA10" s="149">
        <f t="shared" si="36"/>
        <v>0.27986111111111106</v>
      </c>
      <c r="AB10" s="149">
        <f t="shared" si="37"/>
        <v>0.28333333333333327</v>
      </c>
      <c r="AC10" s="149">
        <f t="shared" si="38"/>
        <v>0.2854166666666666</v>
      </c>
      <c r="AD10" s="149">
        <f t="shared" si="39"/>
        <v>0.28749999999999992</v>
      </c>
      <c r="AE10" s="149">
        <f t="shared" si="40"/>
        <v>0.28958333333333325</v>
      </c>
      <c r="AF10" s="156">
        <f t="shared" si="41"/>
        <v>0.29236111111111102</v>
      </c>
      <c r="AG10" s="288">
        <f>SUM(AF10+"0:02")</f>
        <v>0.2937499999999999</v>
      </c>
      <c r="AH10" s="159">
        <f>SUM(AG10+"0:01")</f>
        <v>0.29444444444444434</v>
      </c>
      <c r="AI10" s="159">
        <f>SUM(AH10+"0:04")</f>
        <v>0.29722222222222211</v>
      </c>
      <c r="AJ10" s="159">
        <f>SUM(AI10+"0:01")</f>
        <v>0.29791666666666655</v>
      </c>
      <c r="AK10" s="159">
        <f>SUM(AJ10+"0:04")</f>
        <v>0.30069444444444432</v>
      </c>
      <c r="AL10" s="159">
        <f>SUM(AK10+"0:04")</f>
        <v>0.30347222222222209</v>
      </c>
      <c r="AM10" s="70">
        <f>SUM(AL10+"0:04")</f>
        <v>0.30624999999999986</v>
      </c>
      <c r="AN10" s="95"/>
      <c r="AO10" s="107"/>
      <c r="AP10" s="418" t="s">
        <v>182</v>
      </c>
      <c r="AQ10" s="418" t="s">
        <v>182</v>
      </c>
      <c r="AR10" s="6" t="e">
        <f t="shared" ca="1" si="0"/>
        <v>#VALUE!</v>
      </c>
      <c r="AS10" s="342" t="s">
        <v>74</v>
      </c>
      <c r="AU10" s="10"/>
      <c r="AV10" s="10"/>
      <c r="AW10" s="10"/>
      <c r="AX10" s="10"/>
      <c r="AY10" s="10"/>
      <c r="AZ10" s="10"/>
      <c r="BA10" s="10"/>
    </row>
    <row r="11" spans="1:53" customFormat="1" ht="24" customHeight="1" x14ac:dyDescent="0.35">
      <c r="A11" s="11"/>
      <c r="B11" s="91"/>
      <c r="C11" s="91"/>
      <c r="D11" s="303" t="s">
        <v>125</v>
      </c>
      <c r="E11" s="302">
        <v>0.37152777777777779</v>
      </c>
      <c r="F11" s="306">
        <v>0.4236111111111111</v>
      </c>
      <c r="G11" s="303" t="str">
        <f ca="1">N8</f>
        <v xml:space="preserve">Eugenio </v>
      </c>
      <c r="H11" s="298"/>
      <c r="I11" s="298"/>
      <c r="J11" s="307"/>
      <c r="K11" s="298"/>
      <c r="L11" s="380"/>
      <c r="M11" s="102">
        <v>4</v>
      </c>
      <c r="N11" s="195" t="str">
        <f t="shared" ca="1" si="4"/>
        <v>Ferriol</v>
      </c>
      <c r="O11" s="221">
        <f>+O9+2</f>
        <v>4505</v>
      </c>
      <c r="P11" s="214">
        <f>+P9+"00:20"</f>
        <v>0.27430555555555558</v>
      </c>
      <c r="Q11" s="149">
        <f t="shared" si="26"/>
        <v>0.27500000000000002</v>
      </c>
      <c r="R11" s="149">
        <f t="shared" si="27"/>
        <v>0.27638888888888891</v>
      </c>
      <c r="S11" s="149">
        <f t="shared" si="28"/>
        <v>0.27777777777777779</v>
      </c>
      <c r="T11" s="149">
        <f t="shared" si="29"/>
        <v>0.27847222222222223</v>
      </c>
      <c r="U11" s="150">
        <f t="shared" si="30"/>
        <v>0.27847222222222223</v>
      </c>
      <c r="V11" s="149">
        <f t="shared" si="31"/>
        <v>0.27916666666666667</v>
      </c>
      <c r="W11" s="149">
        <f t="shared" si="32"/>
        <v>0.27986111111111112</v>
      </c>
      <c r="X11" s="149">
        <f t="shared" si="33"/>
        <v>0.28125</v>
      </c>
      <c r="Y11" s="149">
        <f t="shared" si="34"/>
        <v>0.28333333333333333</v>
      </c>
      <c r="Z11" s="151">
        <f t="shared" si="35"/>
        <v>0.28472222222222221</v>
      </c>
      <c r="AA11" s="149">
        <f t="shared" si="36"/>
        <v>0.28680555555555554</v>
      </c>
      <c r="AB11" s="149">
        <f t="shared" si="37"/>
        <v>0.29027777777777775</v>
      </c>
      <c r="AC11" s="149">
        <f t="shared" si="38"/>
        <v>0.29236111111111107</v>
      </c>
      <c r="AD11" s="149">
        <f t="shared" si="39"/>
        <v>0.2944444444444444</v>
      </c>
      <c r="AE11" s="149">
        <f t="shared" si="40"/>
        <v>0.29652777777777772</v>
      </c>
      <c r="AF11" s="157">
        <f t="shared" si="41"/>
        <v>0.29930555555555549</v>
      </c>
      <c r="AG11" s="289"/>
      <c r="AH11" s="73"/>
      <c r="AI11" s="77"/>
      <c r="AJ11" s="77"/>
      <c r="AK11" s="73"/>
      <c r="AL11" s="73"/>
      <c r="AM11" s="74"/>
      <c r="AN11" s="89"/>
      <c r="AO11" s="107"/>
      <c r="AP11" s="418" t="s">
        <v>182</v>
      </c>
      <c r="AQ11" s="418" t="s">
        <v>182</v>
      </c>
      <c r="AR11" s="6" t="e">
        <f t="shared" ca="1" si="0"/>
        <v>#VALUE!</v>
      </c>
      <c r="AS11" s="342" t="s">
        <v>41</v>
      </c>
      <c r="AU11" s="10"/>
      <c r="AV11" s="10"/>
      <c r="AW11" s="10"/>
      <c r="AX11" s="10"/>
      <c r="AY11" s="10"/>
      <c r="AZ11" s="10"/>
      <c r="BA11" s="10"/>
    </row>
    <row r="12" spans="1:53" customFormat="1" ht="24" customHeight="1" x14ac:dyDescent="0.35">
      <c r="A12" s="11"/>
      <c r="B12" s="91"/>
      <c r="C12" s="91"/>
      <c r="D12" s="308" t="s">
        <v>126</v>
      </c>
      <c r="E12" s="302">
        <v>0.38541666666666669</v>
      </c>
      <c r="F12" s="302">
        <v>0.43055555555555558</v>
      </c>
      <c r="G12" s="303" t="str">
        <f ca="1">N30</f>
        <v>Manu</v>
      </c>
      <c r="H12" s="298"/>
      <c r="I12" s="307"/>
      <c r="J12" s="307"/>
      <c r="K12" s="298"/>
      <c r="L12" s="92"/>
      <c r="M12" s="102">
        <v>33</v>
      </c>
      <c r="N12" s="195" t="str">
        <f t="shared" ca="1" si="4"/>
        <v xml:space="preserve">Cati </v>
      </c>
      <c r="O12" s="222">
        <f>O8+2</f>
        <v>4903</v>
      </c>
      <c r="P12" s="214">
        <f>+P8+"00:40"</f>
        <v>0.28125</v>
      </c>
      <c r="Q12" s="149">
        <f t="shared" si="26"/>
        <v>0.28194444444444444</v>
      </c>
      <c r="R12" s="149">
        <f t="shared" si="27"/>
        <v>0.28333333333333333</v>
      </c>
      <c r="S12" s="149">
        <f t="shared" si="28"/>
        <v>0.28472222222222221</v>
      </c>
      <c r="T12" s="149">
        <f t="shared" si="29"/>
        <v>0.28541666666666665</v>
      </c>
      <c r="U12" s="150">
        <f t="shared" si="30"/>
        <v>0.28541666666666665</v>
      </c>
      <c r="V12" s="149">
        <f t="shared" si="31"/>
        <v>0.28611111111111109</v>
      </c>
      <c r="W12" s="149">
        <f t="shared" si="32"/>
        <v>0.28680555555555554</v>
      </c>
      <c r="X12" s="149">
        <f t="shared" si="33"/>
        <v>0.28819444444444442</v>
      </c>
      <c r="Y12" s="149">
        <f t="shared" si="34"/>
        <v>0.29027777777777775</v>
      </c>
      <c r="Z12" s="151">
        <f t="shared" si="35"/>
        <v>0.29166666666666663</v>
      </c>
      <c r="AA12" s="149">
        <f t="shared" si="36"/>
        <v>0.29374999999999996</v>
      </c>
      <c r="AB12" s="149">
        <f t="shared" si="37"/>
        <v>0.29722222222222217</v>
      </c>
      <c r="AC12" s="149">
        <f t="shared" si="38"/>
        <v>0.29930555555555549</v>
      </c>
      <c r="AD12" s="149">
        <f t="shared" si="39"/>
        <v>0.30138888888888882</v>
      </c>
      <c r="AE12" s="149">
        <f t="shared" si="40"/>
        <v>0.30347222222222214</v>
      </c>
      <c r="AF12" s="156">
        <f t="shared" si="41"/>
        <v>0.30624999999999991</v>
      </c>
      <c r="AG12" s="290">
        <f>SUM(AF12+"0:02")</f>
        <v>0.3076388888888888</v>
      </c>
      <c r="AH12" s="149">
        <f>SUM(AG12+"0:01")</f>
        <v>0.30833333333333324</v>
      </c>
      <c r="AI12" s="149">
        <f>SUM(AH12+"0:04")</f>
        <v>0.31111111111111101</v>
      </c>
      <c r="AJ12" s="149">
        <f>SUM(AI12+"0:00")</f>
        <v>0.31111111111111101</v>
      </c>
      <c r="AK12" s="149">
        <f>SUM(AJ12+"0:08")</f>
        <v>0.31666666666666654</v>
      </c>
      <c r="AL12" s="149">
        <f>SUM(AK12+"0:04")</f>
        <v>0.31944444444444431</v>
      </c>
      <c r="AM12" s="76">
        <f>SUM(AL12+"0:08")</f>
        <v>0.32499999999999984</v>
      </c>
      <c r="AN12" s="96">
        <f>SUM(AM12+"0:09")</f>
        <v>0.33124999999999982</v>
      </c>
      <c r="AO12" s="107"/>
      <c r="AP12" s="421">
        <v>36</v>
      </c>
      <c r="AQ12" s="421">
        <v>4</v>
      </c>
      <c r="AR12" s="6">
        <f t="shared" ca="1" si="0"/>
        <v>4</v>
      </c>
      <c r="AS12" s="341" t="s">
        <v>2</v>
      </c>
      <c r="AU12" s="10"/>
      <c r="AV12" s="10"/>
      <c r="AW12" s="10"/>
      <c r="AX12" s="10"/>
      <c r="AY12" s="10"/>
      <c r="AZ12" s="10"/>
      <c r="BA12" s="10"/>
    </row>
    <row r="13" spans="1:53" customFormat="1" ht="24" customHeight="1" x14ac:dyDescent="0.5">
      <c r="A13" s="11"/>
      <c r="B13" s="91"/>
      <c r="C13" s="91"/>
      <c r="D13" s="309" t="s">
        <v>127</v>
      </c>
      <c r="E13" s="310">
        <v>0.40972222222222221</v>
      </c>
      <c r="F13" s="310">
        <v>0.55208333333333337</v>
      </c>
      <c r="G13" s="309" t="str">
        <f ca="1">N39</f>
        <v>Felipe</v>
      </c>
      <c r="H13" s="298"/>
      <c r="I13" s="307"/>
      <c r="J13" s="307"/>
      <c r="K13" s="307"/>
      <c r="L13" s="93"/>
      <c r="M13" s="102">
        <v>7</v>
      </c>
      <c r="N13" s="195" t="str">
        <f t="shared" ca="1" si="4"/>
        <v>Salvador</v>
      </c>
      <c r="O13" s="221">
        <f>+O11+2</f>
        <v>4507</v>
      </c>
      <c r="P13" s="214">
        <f>+P11+"00:20"</f>
        <v>0.28819444444444448</v>
      </c>
      <c r="Q13" s="149">
        <f t="shared" si="26"/>
        <v>0.28888888888888892</v>
      </c>
      <c r="R13" s="149">
        <f t="shared" si="27"/>
        <v>0.2902777777777778</v>
      </c>
      <c r="S13" s="149">
        <f t="shared" si="28"/>
        <v>0.29166666666666669</v>
      </c>
      <c r="T13" s="149">
        <f t="shared" si="29"/>
        <v>0.29236111111111113</v>
      </c>
      <c r="U13" s="150">
        <f t="shared" si="30"/>
        <v>0.29236111111111113</v>
      </c>
      <c r="V13" s="149">
        <f t="shared" si="31"/>
        <v>0.29305555555555557</v>
      </c>
      <c r="W13" s="149">
        <f t="shared" si="32"/>
        <v>0.29375000000000001</v>
      </c>
      <c r="X13" s="149">
        <f t="shared" si="33"/>
        <v>0.2951388888888889</v>
      </c>
      <c r="Y13" s="149">
        <f t="shared" si="34"/>
        <v>0.29722222222222222</v>
      </c>
      <c r="Z13" s="151">
        <f t="shared" si="35"/>
        <v>0.2986111111111111</v>
      </c>
      <c r="AA13" s="149">
        <f t="shared" si="36"/>
        <v>0.30069444444444443</v>
      </c>
      <c r="AB13" s="149">
        <f t="shared" si="37"/>
        <v>0.30416666666666664</v>
      </c>
      <c r="AC13" s="149">
        <f t="shared" si="38"/>
        <v>0.30624999999999997</v>
      </c>
      <c r="AD13" s="149">
        <f t="shared" si="39"/>
        <v>0.30833333333333329</v>
      </c>
      <c r="AE13" s="149">
        <f t="shared" si="40"/>
        <v>0.31041666666666662</v>
      </c>
      <c r="AF13" s="157">
        <f t="shared" si="41"/>
        <v>0.31319444444444439</v>
      </c>
      <c r="AG13" s="289"/>
      <c r="AH13" s="73"/>
      <c r="AI13" s="77"/>
      <c r="AJ13" s="77"/>
      <c r="AK13" s="73"/>
      <c r="AL13" s="73"/>
      <c r="AM13" s="74"/>
      <c r="AN13" s="83"/>
      <c r="AO13" s="107"/>
      <c r="AP13" s="416" t="s">
        <v>187</v>
      </c>
      <c r="AQ13" s="416">
        <v>2</v>
      </c>
      <c r="AR13" s="6">
        <f t="shared" ca="1" si="0"/>
        <v>2</v>
      </c>
      <c r="AS13" s="342" t="s">
        <v>55</v>
      </c>
      <c r="AU13" s="10"/>
      <c r="AV13" s="10"/>
      <c r="AW13" s="10"/>
      <c r="AX13" s="10"/>
      <c r="AY13" s="10"/>
      <c r="AZ13" s="10"/>
      <c r="BA13" s="10"/>
    </row>
    <row r="14" spans="1:53" customFormat="1" ht="24" customHeight="1" x14ac:dyDescent="0.35">
      <c r="A14" s="11"/>
      <c r="B14" s="91"/>
      <c r="C14" s="91"/>
      <c r="D14" s="303" t="s">
        <v>128</v>
      </c>
      <c r="E14" s="311">
        <v>0.41041666666666665</v>
      </c>
      <c r="F14" s="311">
        <v>0.46180555555555558</v>
      </c>
      <c r="G14" s="303" t="e">
        <f ca="1">N7</f>
        <v>#N/A</v>
      </c>
      <c r="H14" s="298"/>
      <c r="I14" s="307"/>
      <c r="J14" s="307"/>
      <c r="K14" s="307"/>
      <c r="L14" s="93"/>
      <c r="M14" s="102">
        <v>153</v>
      </c>
      <c r="N14" s="195" t="str">
        <f t="shared" ca="1" si="4"/>
        <v>Atero</v>
      </c>
      <c r="O14" s="220">
        <f>+O10+2</f>
        <v>4705</v>
      </c>
      <c r="P14" s="214">
        <f>+P10+"00:40"</f>
        <v>0.2951388888888889</v>
      </c>
      <c r="Q14" s="149">
        <f t="shared" si="26"/>
        <v>0.29583333333333334</v>
      </c>
      <c r="R14" s="149">
        <f t="shared" si="27"/>
        <v>0.29722222222222222</v>
      </c>
      <c r="S14" s="149">
        <f t="shared" si="28"/>
        <v>0.2986111111111111</v>
      </c>
      <c r="T14" s="149">
        <f t="shared" si="29"/>
        <v>0.29930555555555555</v>
      </c>
      <c r="U14" s="150">
        <f t="shared" si="30"/>
        <v>0.29930555555555555</v>
      </c>
      <c r="V14" s="149">
        <f t="shared" si="31"/>
        <v>0.3</v>
      </c>
      <c r="W14" s="149">
        <f t="shared" si="32"/>
        <v>0.30069444444444443</v>
      </c>
      <c r="X14" s="149">
        <f t="shared" si="33"/>
        <v>0.30208333333333331</v>
      </c>
      <c r="Y14" s="149">
        <f t="shared" si="34"/>
        <v>0.30416666666666664</v>
      </c>
      <c r="Z14" s="151">
        <f t="shared" si="35"/>
        <v>0.30555555555555552</v>
      </c>
      <c r="AA14" s="149">
        <f t="shared" si="36"/>
        <v>0.30763888888888885</v>
      </c>
      <c r="AB14" s="149">
        <f t="shared" si="37"/>
        <v>0.31111111111111106</v>
      </c>
      <c r="AC14" s="149">
        <f t="shared" si="38"/>
        <v>0.31319444444444439</v>
      </c>
      <c r="AD14" s="149">
        <f t="shared" si="39"/>
        <v>0.31527777777777771</v>
      </c>
      <c r="AE14" s="149">
        <f t="shared" si="40"/>
        <v>0.31736111111111104</v>
      </c>
      <c r="AF14" s="156">
        <f t="shared" si="41"/>
        <v>0.32013888888888881</v>
      </c>
      <c r="AG14" s="288">
        <f>SUM(AF14+"0:02")</f>
        <v>0.32152777777777769</v>
      </c>
      <c r="AH14" s="159">
        <f>SUM(AG14+"0:01")</f>
        <v>0.32222222222222213</v>
      </c>
      <c r="AI14" s="159">
        <f>SUM(AH14+"0:04")</f>
        <v>0.3249999999999999</v>
      </c>
      <c r="AJ14" s="159">
        <f>SUM(AI14+"0:01")</f>
        <v>0.32569444444444434</v>
      </c>
      <c r="AK14" s="159">
        <f>SUM(AJ14+"0:04")</f>
        <v>0.32847222222222211</v>
      </c>
      <c r="AL14" s="159">
        <f>SUM(AK14+"0:04")</f>
        <v>0.33124999999999988</v>
      </c>
      <c r="AM14" s="70">
        <f>SUM(AL14+"0:04")</f>
        <v>0.33402777777777765</v>
      </c>
      <c r="AN14" s="95"/>
      <c r="AO14" s="107"/>
      <c r="AP14" s="422">
        <v>13</v>
      </c>
      <c r="AQ14" s="422">
        <v>7</v>
      </c>
      <c r="AR14" s="6">
        <f t="shared" ca="1" si="0"/>
        <v>7</v>
      </c>
      <c r="AS14" s="342" t="s">
        <v>70</v>
      </c>
      <c r="AU14" s="10"/>
      <c r="AV14" s="10"/>
      <c r="AW14" s="10"/>
      <c r="AX14" s="10"/>
      <c r="AY14" s="10"/>
      <c r="AZ14" s="10"/>
      <c r="BA14" s="10"/>
    </row>
    <row r="15" spans="1:53" customFormat="1" ht="24" customHeight="1" x14ac:dyDescent="0.35">
      <c r="A15" s="11"/>
      <c r="B15" s="91"/>
      <c r="C15" s="91"/>
      <c r="D15" s="312" t="s">
        <v>129</v>
      </c>
      <c r="E15" s="329" t="s">
        <v>130</v>
      </c>
      <c r="F15" s="306">
        <v>0.5</v>
      </c>
      <c r="G15" s="303" t="str">
        <f ca="1">N16</f>
        <v>Pere Estrany</v>
      </c>
      <c r="H15" s="307"/>
      <c r="I15" s="307"/>
      <c r="J15" s="307"/>
      <c r="K15" s="307"/>
      <c r="L15" s="399"/>
      <c r="M15" s="102">
        <v>2</v>
      </c>
      <c r="N15" s="195" t="str">
        <f t="shared" ca="1" si="4"/>
        <v>Troskis</v>
      </c>
      <c r="O15" s="221">
        <f>+O13+2</f>
        <v>4509</v>
      </c>
      <c r="P15" s="214">
        <f>+P13+"00:20"</f>
        <v>0.30208333333333337</v>
      </c>
      <c r="Q15" s="149">
        <f t="shared" si="26"/>
        <v>0.30277777777777781</v>
      </c>
      <c r="R15" s="149">
        <f t="shared" si="27"/>
        <v>0.3041666666666667</v>
      </c>
      <c r="S15" s="149">
        <f t="shared" si="28"/>
        <v>0.30555555555555558</v>
      </c>
      <c r="T15" s="149">
        <f t="shared" si="29"/>
        <v>0.30625000000000002</v>
      </c>
      <c r="U15" s="150">
        <f t="shared" si="30"/>
        <v>0.30625000000000002</v>
      </c>
      <c r="V15" s="149">
        <f t="shared" si="31"/>
        <v>0.30694444444444446</v>
      </c>
      <c r="W15" s="149">
        <f t="shared" si="32"/>
        <v>0.30763888888888891</v>
      </c>
      <c r="X15" s="149">
        <f t="shared" si="33"/>
        <v>0.30902777777777779</v>
      </c>
      <c r="Y15" s="149">
        <f t="shared" si="34"/>
        <v>0.31111111111111112</v>
      </c>
      <c r="Z15" s="151">
        <f t="shared" si="35"/>
        <v>0.3125</v>
      </c>
      <c r="AA15" s="149">
        <f t="shared" si="36"/>
        <v>0.31458333333333333</v>
      </c>
      <c r="AB15" s="149">
        <f t="shared" si="37"/>
        <v>0.31805555555555554</v>
      </c>
      <c r="AC15" s="149">
        <f t="shared" si="38"/>
        <v>0.32013888888888886</v>
      </c>
      <c r="AD15" s="149">
        <f t="shared" si="39"/>
        <v>0.32222222222222219</v>
      </c>
      <c r="AE15" s="149">
        <f t="shared" si="40"/>
        <v>0.32430555555555551</v>
      </c>
      <c r="AF15" s="157">
        <f t="shared" si="41"/>
        <v>0.32708333333333328</v>
      </c>
      <c r="AG15" s="291"/>
      <c r="AH15" s="65"/>
      <c r="AI15" s="66"/>
      <c r="AJ15" s="66"/>
      <c r="AK15" s="65"/>
      <c r="AL15" s="65"/>
      <c r="AM15" s="79"/>
      <c r="AN15" s="97"/>
      <c r="AO15" s="107"/>
      <c r="AP15" s="422">
        <v>10</v>
      </c>
      <c r="AQ15" s="422">
        <v>13</v>
      </c>
      <c r="AR15" s="6">
        <f t="shared" ca="1" si="0"/>
        <v>13</v>
      </c>
      <c r="AS15" s="342" t="s">
        <v>53</v>
      </c>
      <c r="AU15" s="10"/>
      <c r="AV15" s="10"/>
      <c r="AW15" s="10"/>
      <c r="AX15" s="10"/>
      <c r="AY15" s="10"/>
      <c r="AZ15" s="10"/>
      <c r="BA15" s="10"/>
    </row>
    <row r="16" spans="1:53" customFormat="1" ht="24" customHeight="1" x14ac:dyDescent="0.35">
      <c r="A16" s="11"/>
      <c r="B16" s="91"/>
      <c r="C16" s="91"/>
      <c r="D16" s="303" t="s">
        <v>131</v>
      </c>
      <c r="E16" s="306">
        <v>0.43055555555555558</v>
      </c>
      <c r="F16" s="313">
        <v>0.49652777777777779</v>
      </c>
      <c r="G16" s="303" t="str">
        <f ca="1">N15</f>
        <v>Troskis</v>
      </c>
      <c r="H16" s="307"/>
      <c r="I16" s="307"/>
      <c r="J16" s="307"/>
      <c r="K16" s="298"/>
      <c r="L16" s="399"/>
      <c r="M16" s="102">
        <v>201</v>
      </c>
      <c r="N16" s="195" t="str">
        <f t="shared" ca="1" si="4"/>
        <v>Pere Estrany</v>
      </c>
      <c r="O16" s="222">
        <f>O12+2</f>
        <v>4905</v>
      </c>
      <c r="P16" s="214">
        <f>+P12+"00:40"</f>
        <v>0.30902777777777779</v>
      </c>
      <c r="Q16" s="149">
        <f t="shared" ref="Q16:Q79" si="42">SUM(P16+"0:01")</f>
        <v>0.30972222222222223</v>
      </c>
      <c r="R16" s="149">
        <f t="shared" ref="R16:R79" si="43">SUM(Q16+"0:02")</f>
        <v>0.31111111111111112</v>
      </c>
      <c r="S16" s="149">
        <f t="shared" si="28"/>
        <v>0.3125</v>
      </c>
      <c r="T16" s="149">
        <f t="shared" si="29"/>
        <v>0.31319444444444444</v>
      </c>
      <c r="U16" s="150">
        <f t="shared" ref="U16:U79" si="44">SUM(S16+"0:01")</f>
        <v>0.31319444444444444</v>
      </c>
      <c r="V16" s="149">
        <f t="shared" ref="V16:V79" si="45">SUM(U16+"0:01")</f>
        <v>0.31388888888888888</v>
      </c>
      <c r="W16" s="149">
        <f t="shared" ref="W16:W79" si="46">SUM(V16+"0:01")</f>
        <v>0.31458333333333333</v>
      </c>
      <c r="X16" s="149">
        <f t="shared" ref="X16:X79" si="47">SUM(W16+"0:02")</f>
        <v>0.31597222222222221</v>
      </c>
      <c r="Y16" s="149">
        <f t="shared" si="34"/>
        <v>0.31805555555555554</v>
      </c>
      <c r="Z16" s="151">
        <f t="shared" ref="Z16:Z79" si="48">SUM(Y16+"0:02")</f>
        <v>0.31944444444444442</v>
      </c>
      <c r="AA16" s="149">
        <f t="shared" si="36"/>
        <v>0.32152777777777775</v>
      </c>
      <c r="AB16" s="149">
        <f t="shared" ref="AB16:AB79" si="49">SUM(AA16+"0:05")</f>
        <v>0.32499999999999996</v>
      </c>
      <c r="AC16" s="149">
        <f t="shared" ref="AC16:AC79" si="50">SUM(AB16+"0:03")</f>
        <v>0.32708333333333328</v>
      </c>
      <c r="AD16" s="149">
        <f t="shared" ref="AD16:AD79" si="51">SUM(AC16+"0:03")</f>
        <v>0.32916666666666661</v>
      </c>
      <c r="AE16" s="149">
        <f t="shared" ref="AE16:AE79" si="52">SUM(AD16+"0:03")</f>
        <v>0.33124999999999993</v>
      </c>
      <c r="AF16" s="156">
        <f t="shared" ref="AF16:AF79" si="53">SUM(AE16+"0:04")</f>
        <v>0.3340277777777777</v>
      </c>
      <c r="AG16" s="290">
        <f>SUM(AF16+"0:02")</f>
        <v>0.33541666666666659</v>
      </c>
      <c r="AH16" s="149">
        <f>SUM(AG16+"0:01")</f>
        <v>0.33611111111111103</v>
      </c>
      <c r="AI16" s="149">
        <f>SUM(AH16+"0:04")</f>
        <v>0.3388888888888888</v>
      </c>
      <c r="AJ16" s="149">
        <f>SUM(AI16+"0:00")</f>
        <v>0.3388888888888888</v>
      </c>
      <c r="AK16" s="149">
        <f>SUM(AJ16+"0:08")</f>
        <v>0.34444444444444433</v>
      </c>
      <c r="AL16" s="149">
        <f>SUM(AK16+"0:04")</f>
        <v>0.3472222222222221</v>
      </c>
      <c r="AM16" s="76">
        <f>SUM(AL16+"0:08")</f>
        <v>0.35277777777777763</v>
      </c>
      <c r="AN16" s="96">
        <f>SUM(AM16+"0:09")</f>
        <v>0.35902777777777761</v>
      </c>
      <c r="AO16" s="107"/>
      <c r="AP16" s="415" t="s">
        <v>183</v>
      </c>
      <c r="AQ16" s="415" t="s">
        <v>183</v>
      </c>
      <c r="AR16" s="6" t="e">
        <f t="shared" ca="1" si="0"/>
        <v>#VALUE!</v>
      </c>
      <c r="AS16" s="342" t="s">
        <v>79</v>
      </c>
      <c r="AU16" s="10"/>
      <c r="AV16" s="10"/>
      <c r="AW16" s="10"/>
      <c r="AX16" s="10"/>
      <c r="AY16" s="10"/>
      <c r="AZ16" s="10"/>
      <c r="BA16" s="10"/>
    </row>
    <row r="17" spans="1:53" customFormat="1" ht="27" customHeight="1" x14ac:dyDescent="0.35">
      <c r="A17" s="11"/>
      <c r="B17" s="91"/>
      <c r="C17" s="91"/>
      <c r="D17" s="303" t="s">
        <v>132</v>
      </c>
      <c r="E17" s="306">
        <v>0.4375</v>
      </c>
      <c r="F17" s="313">
        <v>0.4826388888888889</v>
      </c>
      <c r="G17" s="303" t="str">
        <f ca="1">N12</f>
        <v xml:space="preserve">Cati </v>
      </c>
      <c r="H17" s="307"/>
      <c r="I17" s="307"/>
      <c r="J17" s="307"/>
      <c r="K17" s="298"/>
      <c r="L17" s="399"/>
      <c r="M17" s="102">
        <v>6</v>
      </c>
      <c r="N17" s="195" t="str">
        <f t="shared" ca="1" si="4"/>
        <v>Pepi</v>
      </c>
      <c r="O17" s="221">
        <f>+O15+2</f>
        <v>4511</v>
      </c>
      <c r="P17" s="214">
        <f>+P15+"00:20"</f>
        <v>0.31597222222222227</v>
      </c>
      <c r="Q17" s="149">
        <f t="shared" si="42"/>
        <v>0.31666666666666671</v>
      </c>
      <c r="R17" s="149">
        <f t="shared" si="43"/>
        <v>0.31805555555555559</v>
      </c>
      <c r="S17" s="149">
        <f t="shared" si="28"/>
        <v>0.31944444444444448</v>
      </c>
      <c r="T17" s="149">
        <f t="shared" si="29"/>
        <v>0.32013888888888892</v>
      </c>
      <c r="U17" s="150">
        <f t="shared" si="44"/>
        <v>0.32013888888888892</v>
      </c>
      <c r="V17" s="149">
        <f t="shared" si="45"/>
        <v>0.32083333333333336</v>
      </c>
      <c r="W17" s="149">
        <f t="shared" si="46"/>
        <v>0.3215277777777778</v>
      </c>
      <c r="X17" s="149">
        <f t="shared" si="47"/>
        <v>0.32291666666666669</v>
      </c>
      <c r="Y17" s="149">
        <f t="shared" si="34"/>
        <v>0.32500000000000001</v>
      </c>
      <c r="Z17" s="151">
        <f t="shared" si="48"/>
        <v>0.3263888888888889</v>
      </c>
      <c r="AA17" s="149">
        <f t="shared" si="36"/>
        <v>0.32847222222222222</v>
      </c>
      <c r="AB17" s="149">
        <f t="shared" si="49"/>
        <v>0.33194444444444443</v>
      </c>
      <c r="AC17" s="149">
        <f t="shared" si="50"/>
        <v>0.33402777777777776</v>
      </c>
      <c r="AD17" s="149">
        <f t="shared" si="51"/>
        <v>0.33611111111111108</v>
      </c>
      <c r="AE17" s="149">
        <f t="shared" si="52"/>
        <v>0.33819444444444441</v>
      </c>
      <c r="AF17" s="157">
        <f t="shared" si="53"/>
        <v>0.34097222222222218</v>
      </c>
      <c r="AG17" s="291"/>
      <c r="AH17" s="65"/>
      <c r="AI17" s="66"/>
      <c r="AJ17" s="66"/>
      <c r="AK17" s="65"/>
      <c r="AL17" s="65"/>
      <c r="AM17" s="79"/>
      <c r="AN17" s="98"/>
      <c r="AO17" s="107"/>
      <c r="AP17" s="415">
        <v>18</v>
      </c>
      <c r="AQ17" s="415">
        <v>18</v>
      </c>
      <c r="AR17" s="6">
        <f t="shared" ca="1" si="0"/>
        <v>18</v>
      </c>
      <c r="AS17" s="342" t="s">
        <v>3</v>
      </c>
      <c r="AU17" s="10"/>
      <c r="AV17" s="10"/>
      <c r="AW17" s="10"/>
      <c r="AX17" s="10"/>
      <c r="AY17" s="10"/>
      <c r="AZ17" s="10"/>
      <c r="BA17" s="10"/>
    </row>
    <row r="18" spans="1:53" customFormat="1" ht="27" customHeight="1" x14ac:dyDescent="0.35">
      <c r="A18" s="11"/>
      <c r="B18" s="91"/>
      <c r="C18" s="91"/>
      <c r="D18" s="303" t="s">
        <v>133</v>
      </c>
      <c r="E18" s="302">
        <v>0.4513888888888889</v>
      </c>
      <c r="F18" s="302">
        <v>0.48958333333333331</v>
      </c>
      <c r="G18" s="314" t="str">
        <f ca="1">N8</f>
        <v xml:space="preserve">Eugenio </v>
      </c>
      <c r="H18" s="307"/>
      <c r="I18" s="388" t="s">
        <v>142</v>
      </c>
      <c r="J18" s="389"/>
      <c r="K18" s="298"/>
      <c r="L18" s="399"/>
      <c r="M18" s="102">
        <v>154</v>
      </c>
      <c r="N18" s="195" t="e">
        <f t="shared" ca="1" si="4"/>
        <v>#N/A</v>
      </c>
      <c r="O18" s="220">
        <f>O14+2</f>
        <v>4707</v>
      </c>
      <c r="P18" s="214">
        <f>+P14+"00:40"</f>
        <v>0.32291666666666669</v>
      </c>
      <c r="Q18" s="149">
        <f t="shared" si="42"/>
        <v>0.32361111111111113</v>
      </c>
      <c r="R18" s="149">
        <f t="shared" si="43"/>
        <v>0.32500000000000001</v>
      </c>
      <c r="S18" s="149">
        <f t="shared" si="28"/>
        <v>0.3263888888888889</v>
      </c>
      <c r="T18" s="149">
        <f t="shared" si="29"/>
        <v>0.32708333333333334</v>
      </c>
      <c r="U18" s="150">
        <f t="shared" si="44"/>
        <v>0.32708333333333334</v>
      </c>
      <c r="V18" s="149">
        <f t="shared" si="45"/>
        <v>0.32777777777777778</v>
      </c>
      <c r="W18" s="149">
        <f t="shared" si="46"/>
        <v>0.32847222222222222</v>
      </c>
      <c r="X18" s="149">
        <f t="shared" si="47"/>
        <v>0.3298611111111111</v>
      </c>
      <c r="Y18" s="149">
        <f t="shared" si="34"/>
        <v>0.33194444444444443</v>
      </c>
      <c r="Z18" s="151">
        <f t="shared" si="48"/>
        <v>0.33333333333333331</v>
      </c>
      <c r="AA18" s="149">
        <f t="shared" si="36"/>
        <v>0.33541666666666664</v>
      </c>
      <c r="AB18" s="149">
        <f t="shared" si="49"/>
        <v>0.33888888888888885</v>
      </c>
      <c r="AC18" s="149">
        <f t="shared" si="50"/>
        <v>0.34097222222222218</v>
      </c>
      <c r="AD18" s="149">
        <f t="shared" si="51"/>
        <v>0.3430555555555555</v>
      </c>
      <c r="AE18" s="149">
        <f t="shared" si="52"/>
        <v>0.34513888888888883</v>
      </c>
      <c r="AF18" s="156">
        <f t="shared" si="53"/>
        <v>0.3479166666666666</v>
      </c>
      <c r="AG18" s="288">
        <f>SUM(AF18+"0:02")</f>
        <v>0.34930555555555548</v>
      </c>
      <c r="AH18" s="159">
        <f>SUM(AG18+"0:01")</f>
        <v>0.34999999999999992</v>
      </c>
      <c r="AI18" s="159">
        <f>SUM(AH18+"0:04")</f>
        <v>0.35277777777777769</v>
      </c>
      <c r="AJ18" s="159">
        <f>SUM(AI18+"0:01")</f>
        <v>0.35347222222222213</v>
      </c>
      <c r="AK18" s="159">
        <f>SUM(AJ18+"0:04")</f>
        <v>0.3562499999999999</v>
      </c>
      <c r="AL18" s="159">
        <f>SUM(AK18+"0:04")</f>
        <v>0.35902777777777767</v>
      </c>
      <c r="AM18" s="70">
        <f>SUM(AL18+"0:04")</f>
        <v>0.36180555555555544</v>
      </c>
      <c r="AN18" s="95"/>
      <c r="AO18" s="107"/>
      <c r="AP18" s="418" t="s">
        <v>182</v>
      </c>
      <c r="AQ18" s="418" t="s">
        <v>182</v>
      </c>
      <c r="AR18" s="6" t="e">
        <f t="shared" ca="1" si="0"/>
        <v>#VALUE!</v>
      </c>
      <c r="AS18" s="342" t="s">
        <v>82</v>
      </c>
      <c r="AU18" s="10"/>
      <c r="AV18" s="10"/>
      <c r="AW18" s="10"/>
      <c r="AX18" s="10"/>
      <c r="AY18" s="10"/>
      <c r="AZ18" s="10"/>
      <c r="BA18" s="10"/>
    </row>
    <row r="19" spans="1:53" customFormat="1" ht="24" customHeight="1" x14ac:dyDescent="0.35">
      <c r="A19" s="11"/>
      <c r="B19" s="91"/>
      <c r="C19" s="91"/>
      <c r="D19" s="315">
        <v>6</v>
      </c>
      <c r="E19" s="316">
        <v>0.4236111111111111</v>
      </c>
      <c r="F19" s="316">
        <v>0.61805555555555558</v>
      </c>
      <c r="G19" s="309" t="str">
        <f ca="1">N17</f>
        <v>Pepi</v>
      </c>
      <c r="H19" s="324" t="s">
        <v>141</v>
      </c>
      <c r="I19" s="390"/>
      <c r="J19" s="391"/>
      <c r="K19" s="307"/>
      <c r="L19" s="399"/>
      <c r="M19" s="102">
        <v>10</v>
      </c>
      <c r="N19" s="195" t="str">
        <f t="shared" ca="1" si="4"/>
        <v>Kiko</v>
      </c>
      <c r="O19" s="221">
        <f>+O17+2</f>
        <v>4513</v>
      </c>
      <c r="P19" s="214">
        <f>+P17+"00:20"</f>
        <v>0.32986111111111116</v>
      </c>
      <c r="Q19" s="149">
        <f t="shared" si="42"/>
        <v>0.3305555555555556</v>
      </c>
      <c r="R19" s="149">
        <f t="shared" si="43"/>
        <v>0.33194444444444449</v>
      </c>
      <c r="S19" s="149">
        <f t="shared" si="28"/>
        <v>0.33333333333333337</v>
      </c>
      <c r="T19" s="149">
        <f t="shared" si="29"/>
        <v>0.33402777777777781</v>
      </c>
      <c r="U19" s="150">
        <f t="shared" si="44"/>
        <v>0.33402777777777781</v>
      </c>
      <c r="V19" s="149">
        <f t="shared" si="45"/>
        <v>0.33472222222222225</v>
      </c>
      <c r="W19" s="149">
        <f t="shared" si="46"/>
        <v>0.3354166666666667</v>
      </c>
      <c r="X19" s="149">
        <f t="shared" si="47"/>
        <v>0.33680555555555558</v>
      </c>
      <c r="Y19" s="149">
        <f t="shared" si="34"/>
        <v>0.33888888888888891</v>
      </c>
      <c r="Z19" s="151">
        <f t="shared" si="48"/>
        <v>0.34027777777777779</v>
      </c>
      <c r="AA19" s="149">
        <f t="shared" si="36"/>
        <v>0.34236111111111112</v>
      </c>
      <c r="AB19" s="149">
        <f t="shared" si="49"/>
        <v>0.34583333333333333</v>
      </c>
      <c r="AC19" s="149">
        <f t="shared" si="50"/>
        <v>0.34791666666666665</v>
      </c>
      <c r="AD19" s="149">
        <f t="shared" si="51"/>
        <v>0.35</v>
      </c>
      <c r="AE19" s="149">
        <f t="shared" si="52"/>
        <v>0.3520833333333333</v>
      </c>
      <c r="AF19" s="157">
        <f t="shared" si="53"/>
        <v>0.35486111111111107</v>
      </c>
      <c r="AG19" s="291"/>
      <c r="AH19" s="65"/>
      <c r="AI19" s="66"/>
      <c r="AJ19" s="66"/>
      <c r="AK19" s="65"/>
      <c r="AL19" s="65"/>
      <c r="AM19" s="79"/>
      <c r="AN19" s="97"/>
      <c r="AO19" s="107"/>
      <c r="AP19" s="415" t="s">
        <v>188</v>
      </c>
      <c r="AQ19" s="415" t="s">
        <v>184</v>
      </c>
      <c r="AR19" s="6" t="e">
        <f t="shared" ca="1" si="0"/>
        <v>#VALUE!</v>
      </c>
      <c r="AS19" s="342" t="s">
        <v>42</v>
      </c>
      <c r="AU19" s="10"/>
      <c r="AV19" s="10"/>
      <c r="AW19" s="10"/>
      <c r="AX19" s="10"/>
      <c r="AY19" s="10"/>
      <c r="AZ19" s="10"/>
      <c r="BA19" s="10"/>
    </row>
    <row r="20" spans="1:53" customFormat="1" ht="24" customHeight="1" x14ac:dyDescent="0.35">
      <c r="A20" s="11">
        <v>91</v>
      </c>
      <c r="B20" s="91"/>
      <c r="C20" s="91"/>
      <c r="D20" s="314" t="s">
        <v>134</v>
      </c>
      <c r="E20" s="311">
        <v>0.4548611111111111</v>
      </c>
      <c r="F20" s="311">
        <v>0.52777777777777779</v>
      </c>
      <c r="G20" s="314" t="str">
        <f ca="1">N9</f>
        <v>Calafat</v>
      </c>
      <c r="H20" s="298"/>
      <c r="I20" s="390"/>
      <c r="J20" s="391"/>
      <c r="K20" s="307"/>
      <c r="L20" s="399"/>
      <c r="M20" s="102">
        <v>32</v>
      </c>
      <c r="N20" s="195" t="str">
        <f t="shared" ca="1" si="4"/>
        <v>Calafat</v>
      </c>
      <c r="O20" s="222">
        <f>O16+2</f>
        <v>4907</v>
      </c>
      <c r="P20" s="214">
        <f>+P16+"00:40"</f>
        <v>0.33680555555555558</v>
      </c>
      <c r="Q20" s="149">
        <f t="shared" si="42"/>
        <v>0.33750000000000002</v>
      </c>
      <c r="R20" s="149">
        <f t="shared" si="43"/>
        <v>0.33888888888888891</v>
      </c>
      <c r="S20" s="149">
        <f t="shared" si="28"/>
        <v>0.34027777777777779</v>
      </c>
      <c r="T20" s="149">
        <f t="shared" si="29"/>
        <v>0.34097222222222223</v>
      </c>
      <c r="U20" s="150">
        <f t="shared" si="44"/>
        <v>0.34097222222222223</v>
      </c>
      <c r="V20" s="149">
        <f t="shared" si="45"/>
        <v>0.34166666666666667</v>
      </c>
      <c r="W20" s="149">
        <f t="shared" si="46"/>
        <v>0.34236111111111112</v>
      </c>
      <c r="X20" s="149">
        <f t="shared" si="47"/>
        <v>0.34375</v>
      </c>
      <c r="Y20" s="149">
        <f t="shared" si="34"/>
        <v>0.34583333333333333</v>
      </c>
      <c r="Z20" s="151">
        <f t="shared" si="48"/>
        <v>0.34722222222222221</v>
      </c>
      <c r="AA20" s="149">
        <f t="shared" si="36"/>
        <v>0.34930555555555554</v>
      </c>
      <c r="AB20" s="149">
        <f t="shared" si="49"/>
        <v>0.35277777777777775</v>
      </c>
      <c r="AC20" s="149">
        <f t="shared" si="50"/>
        <v>0.35486111111111107</v>
      </c>
      <c r="AD20" s="149">
        <f t="shared" si="51"/>
        <v>0.3569444444444444</v>
      </c>
      <c r="AE20" s="149">
        <f t="shared" si="52"/>
        <v>0.35902777777777772</v>
      </c>
      <c r="AF20" s="156">
        <f t="shared" si="53"/>
        <v>0.36180555555555549</v>
      </c>
      <c r="AG20" s="290">
        <f>SUM(AF20+"0:02")</f>
        <v>0.36319444444444438</v>
      </c>
      <c r="AH20" s="149">
        <f>SUM(AG20+"0:01")</f>
        <v>0.36388888888888882</v>
      </c>
      <c r="AI20" s="149">
        <f>SUM(AH20+"0:04")</f>
        <v>0.36666666666666659</v>
      </c>
      <c r="AJ20" s="149">
        <f>SUM(AI20+"0:00")</f>
        <v>0.36666666666666659</v>
      </c>
      <c r="AK20" s="149">
        <f>SUM(AJ20+"0:08")</f>
        <v>0.37222222222222212</v>
      </c>
      <c r="AL20" s="149">
        <f>SUM(AK20+"0:04")</f>
        <v>0.37499999999999989</v>
      </c>
      <c r="AM20" s="76">
        <f>SUM(AL20+"0:08")</f>
        <v>0.38055555555555542</v>
      </c>
      <c r="AN20" s="96">
        <f>SUM(AM20+"0:09")</f>
        <v>0.3868055555555554</v>
      </c>
      <c r="AO20" s="107"/>
      <c r="AP20" s="415" t="s">
        <v>189</v>
      </c>
      <c r="AQ20" s="415">
        <v>6</v>
      </c>
      <c r="AR20" s="6">
        <f t="shared" ca="1" si="0"/>
        <v>6</v>
      </c>
      <c r="AS20" s="342" t="s">
        <v>4</v>
      </c>
      <c r="AU20" s="10"/>
      <c r="AV20" s="10"/>
      <c r="AW20" s="10"/>
      <c r="AX20" s="10"/>
      <c r="AY20" s="10"/>
      <c r="AZ20" s="10"/>
      <c r="BA20" s="10"/>
    </row>
    <row r="21" spans="1:53" customFormat="1" ht="24" customHeight="1" x14ac:dyDescent="0.45">
      <c r="A21" s="11"/>
      <c r="B21" s="91"/>
      <c r="C21" s="91"/>
      <c r="D21" s="317"/>
      <c r="E21" s="317"/>
      <c r="F21" s="317"/>
      <c r="G21" s="318"/>
      <c r="H21" s="298"/>
      <c r="I21" s="390"/>
      <c r="J21" s="391"/>
      <c r="K21" s="307"/>
      <c r="L21" s="399"/>
      <c r="M21" s="102">
        <v>1</v>
      </c>
      <c r="N21" s="195" t="str">
        <f t="shared" ca="1" si="4"/>
        <v>Mika</v>
      </c>
      <c r="O21" s="221">
        <f>+O19+2</f>
        <v>4515</v>
      </c>
      <c r="P21" s="214">
        <f>+P19+"00:20"</f>
        <v>0.34375000000000006</v>
      </c>
      <c r="Q21" s="149">
        <f t="shared" si="42"/>
        <v>0.3444444444444445</v>
      </c>
      <c r="R21" s="149">
        <f t="shared" si="43"/>
        <v>0.34583333333333338</v>
      </c>
      <c r="S21" s="149">
        <f t="shared" si="28"/>
        <v>0.34722222222222227</v>
      </c>
      <c r="T21" s="149">
        <f t="shared" si="29"/>
        <v>0.34791666666666671</v>
      </c>
      <c r="U21" s="150">
        <f t="shared" si="44"/>
        <v>0.34791666666666671</v>
      </c>
      <c r="V21" s="149">
        <f t="shared" si="45"/>
        <v>0.34861111111111115</v>
      </c>
      <c r="W21" s="149">
        <f t="shared" si="46"/>
        <v>0.34930555555555559</v>
      </c>
      <c r="X21" s="149">
        <f t="shared" si="47"/>
        <v>0.35069444444444448</v>
      </c>
      <c r="Y21" s="149">
        <f t="shared" si="34"/>
        <v>0.3527777777777778</v>
      </c>
      <c r="Z21" s="151">
        <f t="shared" si="48"/>
        <v>0.35416666666666669</v>
      </c>
      <c r="AA21" s="149">
        <f t="shared" si="36"/>
        <v>0.35625000000000001</v>
      </c>
      <c r="AB21" s="149">
        <f t="shared" si="49"/>
        <v>0.35972222222222222</v>
      </c>
      <c r="AC21" s="149">
        <f t="shared" si="50"/>
        <v>0.36180555555555555</v>
      </c>
      <c r="AD21" s="149">
        <f t="shared" si="51"/>
        <v>0.36388888888888887</v>
      </c>
      <c r="AE21" s="149">
        <f t="shared" si="52"/>
        <v>0.3659722222222222</v>
      </c>
      <c r="AF21" s="157">
        <f t="shared" si="53"/>
        <v>0.36874999999999997</v>
      </c>
      <c r="AG21" s="289"/>
      <c r="AH21" s="73"/>
      <c r="AI21" s="77"/>
      <c r="AJ21" s="77"/>
      <c r="AK21" s="73"/>
      <c r="AL21" s="73"/>
      <c r="AM21" s="74"/>
      <c r="AN21" s="83"/>
      <c r="AO21" s="107"/>
      <c r="AP21" s="415" t="s">
        <v>190</v>
      </c>
      <c r="AQ21" s="415" t="s">
        <v>184</v>
      </c>
      <c r="AR21" s="6" t="e">
        <f t="shared" ca="1" si="0"/>
        <v>#VALUE!</v>
      </c>
      <c r="AS21" s="341" t="s">
        <v>5</v>
      </c>
      <c r="AU21" s="10"/>
      <c r="AV21" s="10"/>
      <c r="AW21" s="10"/>
      <c r="AX21" s="10"/>
      <c r="AY21" s="10"/>
      <c r="AZ21" s="10"/>
      <c r="BA21" s="10"/>
    </row>
    <row r="22" spans="1:53" customFormat="1" ht="24" customHeight="1" x14ac:dyDescent="0.35">
      <c r="A22" s="11"/>
      <c r="B22" s="91"/>
      <c r="C22" s="91"/>
      <c r="D22" s="303" t="s">
        <v>135</v>
      </c>
      <c r="E22" s="302">
        <v>0.46527777777777779</v>
      </c>
      <c r="F22" s="306">
        <v>0.51736111111111116</v>
      </c>
      <c r="G22" s="297" t="str">
        <f ca="1">N11</f>
        <v>Ferriol</v>
      </c>
      <c r="H22" s="298"/>
      <c r="I22" s="390"/>
      <c r="J22" s="391"/>
      <c r="K22" s="307"/>
      <c r="L22" s="93"/>
      <c r="M22" s="102">
        <v>31</v>
      </c>
      <c r="N22" s="195" t="str">
        <f t="shared" ca="1" si="4"/>
        <v>Juan Rigo</v>
      </c>
      <c r="O22" s="220">
        <f>O18+2</f>
        <v>4709</v>
      </c>
      <c r="P22" s="214">
        <f>+P18+"00:40"</f>
        <v>0.35069444444444448</v>
      </c>
      <c r="Q22" s="149">
        <f t="shared" si="42"/>
        <v>0.35138888888888892</v>
      </c>
      <c r="R22" s="149">
        <f t="shared" si="43"/>
        <v>0.3527777777777778</v>
      </c>
      <c r="S22" s="149">
        <f t="shared" si="28"/>
        <v>0.35416666666666669</v>
      </c>
      <c r="T22" s="149">
        <f t="shared" si="29"/>
        <v>0.35486111111111113</v>
      </c>
      <c r="U22" s="150">
        <f t="shared" si="44"/>
        <v>0.35486111111111113</v>
      </c>
      <c r="V22" s="149">
        <f t="shared" si="45"/>
        <v>0.35555555555555557</v>
      </c>
      <c r="W22" s="149">
        <f t="shared" si="46"/>
        <v>0.35625000000000001</v>
      </c>
      <c r="X22" s="149">
        <f t="shared" si="47"/>
        <v>0.3576388888888889</v>
      </c>
      <c r="Y22" s="149">
        <f t="shared" si="34"/>
        <v>0.35972222222222222</v>
      </c>
      <c r="Z22" s="151">
        <f t="shared" si="48"/>
        <v>0.3611111111111111</v>
      </c>
      <c r="AA22" s="149">
        <f t="shared" si="36"/>
        <v>0.36319444444444443</v>
      </c>
      <c r="AB22" s="149">
        <f t="shared" si="49"/>
        <v>0.36666666666666664</v>
      </c>
      <c r="AC22" s="149">
        <f t="shared" si="50"/>
        <v>0.36874999999999997</v>
      </c>
      <c r="AD22" s="149">
        <f t="shared" si="51"/>
        <v>0.37083333333333329</v>
      </c>
      <c r="AE22" s="149">
        <f t="shared" si="52"/>
        <v>0.37291666666666662</v>
      </c>
      <c r="AF22" s="156">
        <f t="shared" si="53"/>
        <v>0.37569444444444439</v>
      </c>
      <c r="AG22" s="288">
        <f>SUM(AF22+"0:02")</f>
        <v>0.37708333333333327</v>
      </c>
      <c r="AH22" s="159">
        <f>SUM(AG22+"0:01")</f>
        <v>0.37777777777777771</v>
      </c>
      <c r="AI22" s="159">
        <f>SUM(AH22+"0:04")</f>
        <v>0.38055555555555548</v>
      </c>
      <c r="AJ22" s="159">
        <f>SUM(AI22+"0:01")</f>
        <v>0.38124999999999992</v>
      </c>
      <c r="AK22" s="159">
        <f>SUM(AJ22+"0:04")</f>
        <v>0.38402777777777769</v>
      </c>
      <c r="AL22" s="159">
        <f>SUM(AK22+"0:04")</f>
        <v>0.38680555555555546</v>
      </c>
      <c r="AM22" s="70">
        <f>SUM(AL22+"0:04")</f>
        <v>0.38958333333333323</v>
      </c>
      <c r="AN22" s="95"/>
      <c r="AO22" s="107"/>
      <c r="AP22" s="418" t="s">
        <v>182</v>
      </c>
      <c r="AQ22" s="418" t="s">
        <v>182</v>
      </c>
      <c r="AR22" s="6" t="e">
        <f t="shared" ca="1" si="0"/>
        <v>#VALUE!</v>
      </c>
      <c r="AS22" s="343" t="s">
        <v>54</v>
      </c>
      <c r="AU22" s="10"/>
      <c r="AV22" s="10"/>
      <c r="AW22" s="10"/>
      <c r="AX22" s="10"/>
      <c r="AY22" s="10"/>
      <c r="AZ22" s="10"/>
      <c r="BA22" s="10"/>
    </row>
    <row r="23" spans="1:53" customFormat="1" ht="24" customHeight="1" x14ac:dyDescent="0.35">
      <c r="A23" s="11"/>
      <c r="B23" s="91"/>
      <c r="C23" s="91"/>
      <c r="D23" s="303" t="s">
        <v>136</v>
      </c>
      <c r="E23" s="302">
        <v>0.47916666666666669</v>
      </c>
      <c r="F23" s="302">
        <v>0.55208333333333337</v>
      </c>
      <c r="G23" s="303" t="str">
        <f ca="1">N22</f>
        <v>Juan Rigo</v>
      </c>
      <c r="H23" s="307"/>
      <c r="I23" s="390"/>
      <c r="J23" s="391"/>
      <c r="K23" s="298"/>
      <c r="L23" s="92"/>
      <c r="M23" s="102">
        <v>101</v>
      </c>
      <c r="N23" s="195" t="str">
        <f t="shared" ca="1" si="4"/>
        <v>M. Febrer</v>
      </c>
      <c r="O23" s="221">
        <f>+O21+2</f>
        <v>4517</v>
      </c>
      <c r="P23" s="214">
        <f>+P21+"00:20"</f>
        <v>0.35763888888888895</v>
      </c>
      <c r="Q23" s="149">
        <f t="shared" si="42"/>
        <v>0.35833333333333339</v>
      </c>
      <c r="R23" s="149">
        <f t="shared" si="43"/>
        <v>0.35972222222222228</v>
      </c>
      <c r="S23" s="149">
        <f t="shared" si="28"/>
        <v>0.36111111111111116</v>
      </c>
      <c r="T23" s="149">
        <f t="shared" si="29"/>
        <v>0.3618055555555556</v>
      </c>
      <c r="U23" s="150">
        <f t="shared" si="44"/>
        <v>0.3618055555555556</v>
      </c>
      <c r="V23" s="149">
        <f t="shared" si="45"/>
        <v>0.36250000000000004</v>
      </c>
      <c r="W23" s="149">
        <f t="shared" si="46"/>
        <v>0.36319444444444449</v>
      </c>
      <c r="X23" s="149">
        <f t="shared" si="47"/>
        <v>0.36458333333333337</v>
      </c>
      <c r="Y23" s="149">
        <f t="shared" si="34"/>
        <v>0.3666666666666667</v>
      </c>
      <c r="Z23" s="151">
        <f t="shared" si="48"/>
        <v>0.36805555555555558</v>
      </c>
      <c r="AA23" s="149">
        <f t="shared" si="36"/>
        <v>0.37013888888888891</v>
      </c>
      <c r="AB23" s="149">
        <f t="shared" si="49"/>
        <v>0.37361111111111112</v>
      </c>
      <c r="AC23" s="149">
        <f t="shared" si="50"/>
        <v>0.37569444444444444</v>
      </c>
      <c r="AD23" s="149">
        <f t="shared" si="51"/>
        <v>0.37777777777777777</v>
      </c>
      <c r="AE23" s="149">
        <f t="shared" si="52"/>
        <v>0.37986111111111109</v>
      </c>
      <c r="AF23" s="157">
        <f t="shared" si="53"/>
        <v>0.38263888888888886</v>
      </c>
      <c r="AG23" s="289"/>
      <c r="AH23" s="73"/>
      <c r="AI23" s="77"/>
      <c r="AJ23" s="77"/>
      <c r="AK23" s="73"/>
      <c r="AL23" s="73"/>
      <c r="AM23" s="74"/>
      <c r="AN23" s="89"/>
      <c r="AO23" s="107"/>
      <c r="AP23" s="423" t="s">
        <v>191</v>
      </c>
      <c r="AQ23" s="423" t="s">
        <v>184</v>
      </c>
      <c r="AR23" s="6" t="e">
        <f t="shared" ca="1" si="0"/>
        <v>#VALUE!</v>
      </c>
      <c r="AS23" s="341" t="s">
        <v>56</v>
      </c>
      <c r="AU23" s="10"/>
      <c r="AV23" s="10"/>
      <c r="AW23" s="10"/>
      <c r="AX23" s="10"/>
      <c r="AY23" s="10"/>
      <c r="AZ23" s="10"/>
      <c r="BA23" s="10"/>
    </row>
    <row r="24" spans="1:53" customFormat="1" ht="24" customHeight="1" x14ac:dyDescent="0.35">
      <c r="A24" s="11"/>
      <c r="B24" s="91"/>
      <c r="C24" s="380"/>
      <c r="D24" s="312" t="s">
        <v>137</v>
      </c>
      <c r="E24" s="305">
        <v>0.4826388888888889</v>
      </c>
      <c r="F24" s="305">
        <v>0.52430555555555558</v>
      </c>
      <c r="G24" s="319" t="str">
        <f ca="1">N10</f>
        <v>Ferrutja</v>
      </c>
      <c r="H24" s="307"/>
      <c r="I24" s="392"/>
      <c r="J24" s="393"/>
      <c r="K24" s="307"/>
      <c r="L24" s="92"/>
      <c r="M24" s="102">
        <v>5</v>
      </c>
      <c r="N24" s="195" t="str">
        <f t="shared" ca="1" si="4"/>
        <v>Ferrutja</v>
      </c>
      <c r="O24" s="222">
        <f>O20+2</f>
        <v>4909</v>
      </c>
      <c r="P24" s="214">
        <f>+P20+"00:40"</f>
        <v>0.36458333333333337</v>
      </c>
      <c r="Q24" s="149">
        <f t="shared" si="42"/>
        <v>0.36527777777777781</v>
      </c>
      <c r="R24" s="149">
        <f t="shared" si="43"/>
        <v>0.3666666666666667</v>
      </c>
      <c r="S24" s="149">
        <f t="shared" si="28"/>
        <v>0.36805555555555558</v>
      </c>
      <c r="T24" s="149">
        <f t="shared" si="29"/>
        <v>0.36875000000000002</v>
      </c>
      <c r="U24" s="150">
        <f t="shared" si="44"/>
        <v>0.36875000000000002</v>
      </c>
      <c r="V24" s="149">
        <f t="shared" si="45"/>
        <v>0.36944444444444446</v>
      </c>
      <c r="W24" s="149">
        <f t="shared" si="46"/>
        <v>0.37013888888888891</v>
      </c>
      <c r="X24" s="149">
        <f t="shared" si="47"/>
        <v>0.37152777777777779</v>
      </c>
      <c r="Y24" s="149">
        <f t="shared" si="34"/>
        <v>0.37361111111111112</v>
      </c>
      <c r="Z24" s="151">
        <f t="shared" si="48"/>
        <v>0.375</v>
      </c>
      <c r="AA24" s="149">
        <f t="shared" si="36"/>
        <v>0.37708333333333333</v>
      </c>
      <c r="AB24" s="149">
        <f t="shared" si="49"/>
        <v>0.38055555555555554</v>
      </c>
      <c r="AC24" s="149">
        <f t="shared" si="50"/>
        <v>0.38263888888888886</v>
      </c>
      <c r="AD24" s="149">
        <f t="shared" si="51"/>
        <v>0.38472222222222219</v>
      </c>
      <c r="AE24" s="149">
        <f t="shared" si="52"/>
        <v>0.38680555555555551</v>
      </c>
      <c r="AF24" s="156">
        <f t="shared" si="53"/>
        <v>0.38958333333333328</v>
      </c>
      <c r="AG24" s="290">
        <f>SUM(AF24+"0:02")</f>
        <v>0.39097222222222217</v>
      </c>
      <c r="AH24" s="149">
        <f>SUM(AG24+"0:01")</f>
        <v>0.39166666666666661</v>
      </c>
      <c r="AI24" s="149">
        <f>SUM(AH24+"0:04")</f>
        <v>0.39444444444444438</v>
      </c>
      <c r="AJ24" s="149">
        <f>SUM(AI24+"0:00")</f>
        <v>0.39444444444444438</v>
      </c>
      <c r="AK24" s="149">
        <f>SUM(AJ24+"0:08")</f>
        <v>0.39999999999999991</v>
      </c>
      <c r="AL24" s="149">
        <f>SUM(AK24+"0:04")</f>
        <v>0.40277777777777768</v>
      </c>
      <c r="AM24" s="76">
        <f>SUM(AL24+"0:08")</f>
        <v>0.40833333333333321</v>
      </c>
      <c r="AN24" s="96">
        <f>SUM(AM24+"0:09")</f>
        <v>0.41458333333333319</v>
      </c>
      <c r="AO24" s="107"/>
      <c r="AP24" s="415" t="s">
        <v>0</v>
      </c>
      <c r="AQ24" s="415" t="s">
        <v>0</v>
      </c>
      <c r="AR24" s="122"/>
      <c r="AS24" s="342" t="s">
        <v>6</v>
      </c>
      <c r="AU24" s="10"/>
      <c r="AV24" s="10"/>
      <c r="AW24" s="10"/>
      <c r="AX24" s="10"/>
      <c r="AY24" s="10"/>
      <c r="AZ24" s="10"/>
      <c r="BA24" s="10"/>
    </row>
    <row r="25" spans="1:53" customFormat="1" ht="24" customHeight="1" x14ac:dyDescent="0.35">
      <c r="A25" s="11"/>
      <c r="B25" s="91"/>
      <c r="C25" s="380"/>
      <c r="D25" s="309" t="s">
        <v>138</v>
      </c>
      <c r="E25" s="316">
        <v>0.49652777777777779</v>
      </c>
      <c r="F25" s="316">
        <v>0.57638888888888884</v>
      </c>
      <c r="G25" s="309" t="str">
        <f ca="1">N14</f>
        <v>Atero</v>
      </c>
      <c r="H25" s="307"/>
      <c r="I25" s="298"/>
      <c r="J25" s="298"/>
      <c r="K25" s="307"/>
      <c r="L25" s="93"/>
      <c r="M25" s="102">
        <v>2</v>
      </c>
      <c r="N25" s="195" t="str">
        <f t="shared" ca="1" si="4"/>
        <v>Troskis</v>
      </c>
      <c r="O25" s="221">
        <f>+O23+2</f>
        <v>4519</v>
      </c>
      <c r="P25" s="214">
        <f>+P23+"00:20"</f>
        <v>0.37152777777777785</v>
      </c>
      <c r="Q25" s="149">
        <f t="shared" si="42"/>
        <v>0.37222222222222229</v>
      </c>
      <c r="R25" s="149">
        <f t="shared" si="43"/>
        <v>0.37361111111111117</v>
      </c>
      <c r="S25" s="149">
        <f t="shared" si="28"/>
        <v>0.37500000000000006</v>
      </c>
      <c r="T25" s="149">
        <f t="shared" si="29"/>
        <v>0.3756944444444445</v>
      </c>
      <c r="U25" s="150">
        <f t="shared" si="44"/>
        <v>0.3756944444444445</v>
      </c>
      <c r="V25" s="149">
        <f t="shared" si="45"/>
        <v>0.37638888888888894</v>
      </c>
      <c r="W25" s="149">
        <f t="shared" si="46"/>
        <v>0.37708333333333338</v>
      </c>
      <c r="X25" s="149">
        <f t="shared" si="47"/>
        <v>0.37847222222222227</v>
      </c>
      <c r="Y25" s="149">
        <f t="shared" si="34"/>
        <v>0.38055555555555559</v>
      </c>
      <c r="Z25" s="151">
        <f t="shared" si="48"/>
        <v>0.38194444444444448</v>
      </c>
      <c r="AA25" s="149">
        <f t="shared" si="36"/>
        <v>0.3840277777777778</v>
      </c>
      <c r="AB25" s="149">
        <f t="shared" si="49"/>
        <v>0.38750000000000001</v>
      </c>
      <c r="AC25" s="149">
        <f t="shared" si="50"/>
        <v>0.38958333333333334</v>
      </c>
      <c r="AD25" s="149">
        <f t="shared" si="51"/>
        <v>0.39166666666666666</v>
      </c>
      <c r="AE25" s="149">
        <f t="shared" si="52"/>
        <v>0.39374999999999999</v>
      </c>
      <c r="AF25" s="157">
        <f t="shared" si="53"/>
        <v>0.39652777777777776</v>
      </c>
      <c r="AG25" s="292"/>
      <c r="AH25" s="81"/>
      <c r="AI25" s="82"/>
      <c r="AJ25" s="82"/>
      <c r="AK25" s="81"/>
      <c r="AL25" s="81"/>
      <c r="AM25" s="83"/>
      <c r="AN25" s="83"/>
      <c r="AO25" s="107"/>
      <c r="AP25" s="418" t="s">
        <v>182</v>
      </c>
      <c r="AQ25" s="418" t="s">
        <v>182</v>
      </c>
      <c r="AR25" s="6" t="e">
        <f t="shared" ca="1" si="0"/>
        <v>#VALUE!</v>
      </c>
      <c r="AS25" s="342" t="s">
        <v>57</v>
      </c>
      <c r="AU25" s="10"/>
      <c r="AV25" s="10"/>
      <c r="AW25" s="10"/>
      <c r="AX25" s="10"/>
      <c r="AY25" s="10"/>
      <c r="AZ25" s="10"/>
      <c r="BA25" s="10"/>
    </row>
    <row r="26" spans="1:53" customFormat="1" ht="24" customHeight="1" x14ac:dyDescent="0.35">
      <c r="A26" s="11"/>
      <c r="B26" s="91"/>
      <c r="C26" s="380"/>
      <c r="D26" s="320" t="s">
        <v>139</v>
      </c>
      <c r="E26" s="321">
        <v>0.50694444444444442</v>
      </c>
      <c r="F26" s="302">
        <v>0.56597222222222221</v>
      </c>
      <c r="G26" s="303" t="str">
        <f ca="1">N13</f>
        <v>Salvador</v>
      </c>
      <c r="H26" s="307"/>
      <c r="I26" s="307"/>
      <c r="J26" s="298"/>
      <c r="K26" s="381"/>
      <c r="L26" s="93"/>
      <c r="M26" s="102">
        <v>4</v>
      </c>
      <c r="N26" s="195" t="str">
        <f t="shared" ca="1" si="4"/>
        <v>Ferriol</v>
      </c>
      <c r="O26" s="220">
        <f>O22+2</f>
        <v>4711</v>
      </c>
      <c r="P26" s="214">
        <f>+P22+"00:40"</f>
        <v>0.37847222222222227</v>
      </c>
      <c r="Q26" s="149">
        <f t="shared" si="42"/>
        <v>0.37916666666666671</v>
      </c>
      <c r="R26" s="149">
        <f t="shared" si="43"/>
        <v>0.38055555555555559</v>
      </c>
      <c r="S26" s="149">
        <f t="shared" si="28"/>
        <v>0.38194444444444448</v>
      </c>
      <c r="T26" s="149">
        <f t="shared" si="29"/>
        <v>0.38263888888888892</v>
      </c>
      <c r="U26" s="150">
        <f t="shared" si="44"/>
        <v>0.38263888888888892</v>
      </c>
      <c r="V26" s="149">
        <f t="shared" si="45"/>
        <v>0.38333333333333336</v>
      </c>
      <c r="W26" s="149">
        <f t="shared" si="46"/>
        <v>0.3840277777777778</v>
      </c>
      <c r="X26" s="149">
        <f t="shared" si="47"/>
        <v>0.38541666666666669</v>
      </c>
      <c r="Y26" s="149">
        <f t="shared" si="34"/>
        <v>0.38750000000000001</v>
      </c>
      <c r="Z26" s="151">
        <f t="shared" si="48"/>
        <v>0.3888888888888889</v>
      </c>
      <c r="AA26" s="149">
        <f t="shared" si="36"/>
        <v>0.39097222222222222</v>
      </c>
      <c r="AB26" s="149">
        <f t="shared" si="49"/>
        <v>0.39444444444444443</v>
      </c>
      <c r="AC26" s="149">
        <f t="shared" si="50"/>
        <v>0.39652777777777776</v>
      </c>
      <c r="AD26" s="149">
        <f t="shared" si="51"/>
        <v>0.39861111111111108</v>
      </c>
      <c r="AE26" s="149">
        <f t="shared" si="52"/>
        <v>0.40069444444444441</v>
      </c>
      <c r="AF26" s="156">
        <f t="shared" si="53"/>
        <v>0.40347222222222218</v>
      </c>
      <c r="AG26" s="293">
        <f>SUM(AF26+"0:02")</f>
        <v>0.40486111111111106</v>
      </c>
      <c r="AH26" s="152">
        <f>SUM(AG26+"0:01")</f>
        <v>0.4055555555555555</v>
      </c>
      <c r="AI26" s="152">
        <f>SUM(AH26+"0:04")</f>
        <v>0.40833333333333327</v>
      </c>
      <c r="AJ26" s="152">
        <f>SUM(AI26+"0:01")</f>
        <v>0.40902777777777771</v>
      </c>
      <c r="AK26" s="152">
        <f>SUM(AJ26+"0:04")</f>
        <v>0.41180555555555548</v>
      </c>
      <c r="AL26" s="152">
        <f>SUM(AK26+"0:04")</f>
        <v>0.41458333333333325</v>
      </c>
      <c r="AM26" s="78">
        <f>SUM(AL26+"0:04")</f>
        <v>0.41736111111111102</v>
      </c>
      <c r="AN26" s="84"/>
      <c r="AO26" s="107"/>
      <c r="AP26" s="418" t="s">
        <v>182</v>
      </c>
      <c r="AQ26" s="418" t="s">
        <v>182</v>
      </c>
      <c r="AR26" s="6" t="e">
        <f t="shared" ca="1" si="0"/>
        <v>#VALUE!</v>
      </c>
      <c r="AS26" s="342" t="s">
        <v>7</v>
      </c>
      <c r="AU26" s="10"/>
      <c r="AV26" s="10"/>
      <c r="AW26" s="10"/>
      <c r="AX26" s="10"/>
      <c r="AY26" s="10"/>
      <c r="AZ26" s="10"/>
      <c r="BA26" s="10"/>
    </row>
    <row r="27" spans="1:53" customFormat="1" ht="24" customHeight="1" x14ac:dyDescent="0.35">
      <c r="A27" s="11"/>
      <c r="B27" s="91"/>
      <c r="C27" s="380"/>
      <c r="D27" s="303" t="s">
        <v>140</v>
      </c>
      <c r="E27" s="302">
        <v>0.52083333333333337</v>
      </c>
      <c r="F27" s="302">
        <v>0.58333333333333337</v>
      </c>
      <c r="G27" s="303" t="str">
        <f ca="1">N30</f>
        <v>Manu</v>
      </c>
      <c r="H27" s="307"/>
      <c r="I27" s="307"/>
      <c r="J27" s="322"/>
      <c r="K27" s="381"/>
      <c r="L27" s="92"/>
      <c r="M27" s="102">
        <v>7</v>
      </c>
      <c r="N27" s="195" t="str">
        <f t="shared" ca="1" si="4"/>
        <v>Salvador</v>
      </c>
      <c r="O27" s="222">
        <f>O24+2</f>
        <v>4911</v>
      </c>
      <c r="P27" s="214">
        <f>+P23+"00:50"</f>
        <v>0.39236111111111116</v>
      </c>
      <c r="Q27" s="149">
        <f t="shared" si="42"/>
        <v>0.3930555555555556</v>
      </c>
      <c r="R27" s="149">
        <f t="shared" si="43"/>
        <v>0.39444444444444449</v>
      </c>
      <c r="S27" s="149">
        <f t="shared" si="28"/>
        <v>0.39583333333333337</v>
      </c>
      <c r="T27" s="149">
        <f t="shared" si="29"/>
        <v>0.39652777777777781</v>
      </c>
      <c r="U27" s="150">
        <f t="shared" si="44"/>
        <v>0.39652777777777781</v>
      </c>
      <c r="V27" s="149">
        <f t="shared" si="45"/>
        <v>0.39722222222222225</v>
      </c>
      <c r="W27" s="149">
        <f t="shared" si="46"/>
        <v>0.3979166666666667</v>
      </c>
      <c r="X27" s="149">
        <f t="shared" si="47"/>
        <v>0.39930555555555558</v>
      </c>
      <c r="Y27" s="149">
        <f t="shared" si="34"/>
        <v>0.40138888888888891</v>
      </c>
      <c r="Z27" s="151">
        <f t="shared" si="48"/>
        <v>0.40277777777777779</v>
      </c>
      <c r="AA27" s="149">
        <f t="shared" si="36"/>
        <v>0.40486111111111112</v>
      </c>
      <c r="AB27" s="149">
        <f t="shared" si="49"/>
        <v>0.40833333333333333</v>
      </c>
      <c r="AC27" s="149">
        <f t="shared" si="50"/>
        <v>0.41041666666666665</v>
      </c>
      <c r="AD27" s="149">
        <f t="shared" si="51"/>
        <v>0.41249999999999998</v>
      </c>
      <c r="AE27" s="149">
        <f t="shared" si="52"/>
        <v>0.4145833333333333</v>
      </c>
      <c r="AF27" s="156">
        <f t="shared" si="53"/>
        <v>0.41736111111111107</v>
      </c>
      <c r="AG27" s="293">
        <f>SUM(AF27+"0:02")</f>
        <v>0.41874999999999996</v>
      </c>
      <c r="AH27" s="152">
        <f>SUM(AG27+"0:01")</f>
        <v>0.4194444444444444</v>
      </c>
      <c r="AI27" s="152">
        <f>SUM(AH27+"0:04")</f>
        <v>0.42222222222222217</v>
      </c>
      <c r="AJ27" s="152">
        <f>SUM(AI27+"0:00")</f>
        <v>0.42222222222222217</v>
      </c>
      <c r="AK27" s="152">
        <f>SUM(AJ27+"0:08")</f>
        <v>0.4277777777777777</v>
      </c>
      <c r="AL27" s="152">
        <f>SUM(AK27+"0:04")</f>
        <v>0.43055555555555547</v>
      </c>
      <c r="AM27" s="85">
        <f>SUM(AL27+"0:08")</f>
        <v>0.43611111111111101</v>
      </c>
      <c r="AN27" s="96">
        <f>SUM(AM27+"0:09")</f>
        <v>0.44236111111111098</v>
      </c>
      <c r="AO27" s="107"/>
      <c r="AP27" s="423" t="s">
        <v>192</v>
      </c>
      <c r="AQ27" s="423" t="s">
        <v>184</v>
      </c>
      <c r="AR27" s="122"/>
      <c r="AS27" s="342" t="s">
        <v>77</v>
      </c>
      <c r="AU27" s="10"/>
      <c r="AV27" s="10"/>
      <c r="AW27" s="10"/>
      <c r="AX27" s="10"/>
      <c r="AY27" s="10"/>
      <c r="AZ27" s="10"/>
      <c r="BA27" s="10"/>
    </row>
    <row r="28" spans="1:53" customFormat="1" ht="24" customHeight="1" x14ac:dyDescent="0.45">
      <c r="A28" s="11"/>
      <c r="B28" s="91"/>
      <c r="C28" s="91"/>
      <c r="D28" s="276"/>
      <c r="E28" s="276"/>
      <c r="F28" s="276"/>
      <c r="G28" s="276"/>
      <c r="H28" s="276"/>
      <c r="I28" s="276"/>
      <c r="J28" s="276"/>
      <c r="K28" s="276"/>
      <c r="L28" s="93"/>
      <c r="M28" s="102">
        <v>153</v>
      </c>
      <c r="N28" s="195" t="str">
        <f t="shared" ca="1" si="4"/>
        <v>Atero</v>
      </c>
      <c r="O28" s="220">
        <f>O26+2</f>
        <v>4713</v>
      </c>
      <c r="P28" s="214">
        <f>+P27+"0:20"</f>
        <v>0.40625000000000006</v>
      </c>
      <c r="Q28" s="149">
        <f t="shared" si="42"/>
        <v>0.4069444444444445</v>
      </c>
      <c r="R28" s="149">
        <f t="shared" si="43"/>
        <v>0.40833333333333338</v>
      </c>
      <c r="S28" s="149">
        <f t="shared" si="28"/>
        <v>0.40972222222222227</v>
      </c>
      <c r="T28" s="149">
        <f t="shared" si="29"/>
        <v>0.41041666666666671</v>
      </c>
      <c r="U28" s="150">
        <f t="shared" si="44"/>
        <v>0.41041666666666671</v>
      </c>
      <c r="V28" s="149">
        <f t="shared" si="45"/>
        <v>0.41111111111111115</v>
      </c>
      <c r="W28" s="149">
        <f t="shared" si="46"/>
        <v>0.41180555555555559</v>
      </c>
      <c r="X28" s="149">
        <f t="shared" si="47"/>
        <v>0.41319444444444448</v>
      </c>
      <c r="Y28" s="149">
        <f t="shared" si="34"/>
        <v>0.4152777777777778</v>
      </c>
      <c r="Z28" s="151">
        <f t="shared" si="48"/>
        <v>0.41666666666666669</v>
      </c>
      <c r="AA28" s="149">
        <f t="shared" si="36"/>
        <v>0.41875000000000001</v>
      </c>
      <c r="AB28" s="149">
        <f t="shared" si="49"/>
        <v>0.42222222222222222</v>
      </c>
      <c r="AC28" s="149">
        <f t="shared" si="50"/>
        <v>0.42430555555555555</v>
      </c>
      <c r="AD28" s="149">
        <f t="shared" si="51"/>
        <v>0.42638888888888887</v>
      </c>
      <c r="AE28" s="149">
        <f t="shared" si="52"/>
        <v>0.4284722222222222</v>
      </c>
      <c r="AF28" s="156">
        <f t="shared" si="53"/>
        <v>0.43124999999999997</v>
      </c>
      <c r="AG28" s="293">
        <f>SUM(AF28+"0:02")</f>
        <v>0.43263888888888885</v>
      </c>
      <c r="AH28" s="152">
        <f>SUM(AG28+"0:01")</f>
        <v>0.43333333333333329</v>
      </c>
      <c r="AI28" s="152">
        <f>SUM(AH28+"0:04")</f>
        <v>0.43611111111111106</v>
      </c>
      <c r="AJ28" s="152">
        <f>SUM(AI28+"0:01")</f>
        <v>0.4368055555555555</v>
      </c>
      <c r="AK28" s="152">
        <f>SUM(AJ28+"0:04")</f>
        <v>0.43958333333333327</v>
      </c>
      <c r="AL28" s="152">
        <f>SUM(AK28+"0:04")</f>
        <v>0.44236111111111104</v>
      </c>
      <c r="AM28" s="78">
        <f>SUM(AL28+"0:04")</f>
        <v>0.44513888888888881</v>
      </c>
      <c r="AN28" s="72"/>
      <c r="AO28" s="107"/>
      <c r="AP28" s="418" t="s">
        <v>182</v>
      </c>
      <c r="AQ28" s="418" t="s">
        <v>182</v>
      </c>
      <c r="AR28" s="6" t="e">
        <f t="shared" ca="1" si="0"/>
        <v>#VALUE!</v>
      </c>
      <c r="AS28" s="342" t="s">
        <v>58</v>
      </c>
      <c r="AU28" s="10"/>
      <c r="AV28" s="10"/>
      <c r="AW28" s="10"/>
      <c r="AX28" s="10"/>
      <c r="AY28" s="10"/>
      <c r="AZ28" s="10"/>
      <c r="BA28" s="10"/>
    </row>
    <row r="29" spans="1:53" customFormat="1" ht="24" customHeight="1" thickBot="1" x14ac:dyDescent="0.4">
      <c r="A29" s="11"/>
      <c r="B29" s="91"/>
      <c r="C29" s="91"/>
      <c r="D29" s="10"/>
      <c r="E29" s="7"/>
      <c r="F29" s="7"/>
      <c r="G29" s="7"/>
      <c r="H29" s="7"/>
      <c r="I29" s="7"/>
      <c r="J29" s="7"/>
      <c r="K29" s="7"/>
      <c r="L29" s="92"/>
      <c r="M29" s="102">
        <v>8</v>
      </c>
      <c r="N29" s="195" t="str">
        <f t="shared" ca="1" si="4"/>
        <v xml:space="preserve">Mayol </v>
      </c>
      <c r="O29" s="222">
        <f>+O27+2</f>
        <v>4913</v>
      </c>
      <c r="P29" s="214">
        <f>+P27+"00:40"</f>
        <v>0.42013888888888895</v>
      </c>
      <c r="Q29" s="149">
        <f t="shared" si="42"/>
        <v>0.42083333333333339</v>
      </c>
      <c r="R29" s="149">
        <f t="shared" si="43"/>
        <v>0.42222222222222228</v>
      </c>
      <c r="S29" s="149">
        <f t="shared" si="28"/>
        <v>0.42361111111111116</v>
      </c>
      <c r="T29" s="149">
        <f t="shared" si="29"/>
        <v>0.4243055555555556</v>
      </c>
      <c r="U29" s="150">
        <f t="shared" si="44"/>
        <v>0.4243055555555556</v>
      </c>
      <c r="V29" s="149">
        <f t="shared" si="45"/>
        <v>0.42500000000000004</v>
      </c>
      <c r="W29" s="149">
        <f t="shared" si="46"/>
        <v>0.42569444444444449</v>
      </c>
      <c r="X29" s="149">
        <f t="shared" si="47"/>
        <v>0.42708333333333337</v>
      </c>
      <c r="Y29" s="149">
        <f t="shared" si="34"/>
        <v>0.4291666666666667</v>
      </c>
      <c r="Z29" s="151">
        <f t="shared" si="48"/>
        <v>0.43055555555555558</v>
      </c>
      <c r="AA29" s="149">
        <f t="shared" si="36"/>
        <v>0.43263888888888891</v>
      </c>
      <c r="AB29" s="149">
        <f t="shared" si="49"/>
        <v>0.43611111111111112</v>
      </c>
      <c r="AC29" s="149">
        <f t="shared" si="50"/>
        <v>0.43819444444444444</v>
      </c>
      <c r="AD29" s="149">
        <f t="shared" si="51"/>
        <v>0.44027777777777777</v>
      </c>
      <c r="AE29" s="149">
        <f t="shared" si="52"/>
        <v>0.44236111111111109</v>
      </c>
      <c r="AF29" s="156">
        <f t="shared" si="53"/>
        <v>0.44513888888888886</v>
      </c>
      <c r="AG29" s="293">
        <f>SUM(AF29+"0:02")</f>
        <v>0.44652777777777775</v>
      </c>
      <c r="AH29" s="152">
        <f>SUM(AG29+"0:01")</f>
        <v>0.44722222222222219</v>
      </c>
      <c r="AI29" s="152">
        <f>SUM(AH29+"0:04")</f>
        <v>0.44999999999999996</v>
      </c>
      <c r="AJ29" s="152">
        <f>SUM(AI29+"0:00")</f>
        <v>0.44999999999999996</v>
      </c>
      <c r="AK29" s="152">
        <f>SUM(AJ29+"0:08")</f>
        <v>0.45555555555555549</v>
      </c>
      <c r="AL29" s="152">
        <f>SUM(AK29+"0:04")</f>
        <v>0.45833333333333326</v>
      </c>
      <c r="AM29" s="85">
        <f>SUM(AL29+"0:08")</f>
        <v>0.4638888888888888</v>
      </c>
      <c r="AN29" s="99">
        <f>SUM(AM29+"0:09")</f>
        <v>0.47013888888888877</v>
      </c>
      <c r="AO29" s="107"/>
      <c r="AP29" s="421">
        <v>33</v>
      </c>
      <c r="AQ29" s="421">
        <v>36</v>
      </c>
      <c r="AR29" s="6">
        <f t="shared" ca="1" si="0"/>
        <v>36</v>
      </c>
      <c r="AS29" s="342" t="s">
        <v>78</v>
      </c>
      <c r="AU29" s="10"/>
      <c r="AV29" s="10"/>
      <c r="AW29" s="10"/>
      <c r="AX29" s="10"/>
      <c r="AY29" s="10"/>
      <c r="AZ29" s="10"/>
      <c r="BA29" s="10"/>
    </row>
    <row r="30" spans="1:53" customFormat="1" ht="24" customHeight="1" x14ac:dyDescent="0.35">
      <c r="A30" s="11"/>
      <c r="B30" s="91"/>
      <c r="C30" s="91"/>
      <c r="D30" s="382" t="s">
        <v>143</v>
      </c>
      <c r="E30" s="383"/>
      <c r="F30" s="383"/>
      <c r="G30" s="383"/>
      <c r="H30" s="383"/>
      <c r="I30" s="383"/>
      <c r="J30" s="383"/>
      <c r="K30" s="384"/>
      <c r="L30" s="92"/>
      <c r="M30" s="102">
        <v>151</v>
      </c>
      <c r="N30" s="195" t="str">
        <f t="shared" ca="1" si="4"/>
        <v>Manu</v>
      </c>
      <c r="O30" s="220">
        <f>O28+2</f>
        <v>4715</v>
      </c>
      <c r="P30" s="214">
        <f>+P29+"0:20"</f>
        <v>0.43402777777777785</v>
      </c>
      <c r="Q30" s="149">
        <f t="shared" si="42"/>
        <v>0.43472222222222229</v>
      </c>
      <c r="R30" s="149">
        <f t="shared" si="43"/>
        <v>0.43611111111111117</v>
      </c>
      <c r="S30" s="149">
        <f t="shared" si="28"/>
        <v>0.43750000000000006</v>
      </c>
      <c r="T30" s="149">
        <f t="shared" si="29"/>
        <v>0.4381944444444445</v>
      </c>
      <c r="U30" s="150">
        <f t="shared" si="44"/>
        <v>0.4381944444444445</v>
      </c>
      <c r="V30" s="149">
        <f t="shared" si="45"/>
        <v>0.43888888888888894</v>
      </c>
      <c r="W30" s="149">
        <f t="shared" si="46"/>
        <v>0.43958333333333338</v>
      </c>
      <c r="X30" s="149">
        <f t="shared" si="47"/>
        <v>0.44097222222222227</v>
      </c>
      <c r="Y30" s="149">
        <f t="shared" si="34"/>
        <v>0.44305555555555559</v>
      </c>
      <c r="Z30" s="151">
        <f t="shared" si="48"/>
        <v>0.44444444444444448</v>
      </c>
      <c r="AA30" s="149">
        <f t="shared" si="36"/>
        <v>0.4465277777777778</v>
      </c>
      <c r="AB30" s="149">
        <f t="shared" si="49"/>
        <v>0.45</v>
      </c>
      <c r="AC30" s="149">
        <f t="shared" si="50"/>
        <v>0.45208333333333334</v>
      </c>
      <c r="AD30" s="149">
        <f t="shared" si="51"/>
        <v>0.45416666666666666</v>
      </c>
      <c r="AE30" s="149">
        <f t="shared" si="52"/>
        <v>0.45624999999999999</v>
      </c>
      <c r="AF30" s="156">
        <f t="shared" si="53"/>
        <v>0.45902777777777776</v>
      </c>
      <c r="AG30" s="288">
        <f>SUM(AF30+"0:02")</f>
        <v>0.46041666666666664</v>
      </c>
      <c r="AH30" s="159">
        <f>SUM(AG30+"0:01")</f>
        <v>0.46111111111111108</v>
      </c>
      <c r="AI30" s="159">
        <f>SUM(AH30+"0:04")</f>
        <v>0.46388888888888885</v>
      </c>
      <c r="AJ30" s="159">
        <f>SUM(AI30+"0:01")</f>
        <v>0.46458333333333329</v>
      </c>
      <c r="AK30" s="159">
        <f>SUM(AJ30+"0:04")</f>
        <v>0.46736111111111106</v>
      </c>
      <c r="AL30" s="159">
        <f>SUM(AK30+"0:04")</f>
        <v>0.47013888888888883</v>
      </c>
      <c r="AM30" s="70">
        <f>SUM(AL30+"0:04")</f>
        <v>0.4729166666666666</v>
      </c>
      <c r="AN30" s="95"/>
      <c r="AO30" s="107"/>
      <c r="AP30" s="415" t="s">
        <v>193</v>
      </c>
      <c r="AQ30" s="415" t="s">
        <v>184</v>
      </c>
      <c r="AR30" s="6" t="e">
        <f t="shared" ca="1" si="0"/>
        <v>#VALUE!</v>
      </c>
      <c r="AS30" s="343" t="s">
        <v>80</v>
      </c>
      <c r="AU30" s="10"/>
      <c r="AV30" s="10"/>
      <c r="AW30" s="10"/>
      <c r="AX30" s="10"/>
      <c r="AY30" s="10"/>
      <c r="AZ30" s="10"/>
      <c r="BA30" s="10"/>
    </row>
    <row r="31" spans="1:53" customFormat="1" ht="24" customHeight="1" thickBot="1" x14ac:dyDescent="0.4">
      <c r="A31" s="11"/>
      <c r="B31" s="91"/>
      <c r="C31" s="91"/>
      <c r="D31" s="385"/>
      <c r="E31" s="386"/>
      <c r="F31" s="386"/>
      <c r="G31" s="386"/>
      <c r="H31" s="386"/>
      <c r="I31" s="386"/>
      <c r="J31" s="386"/>
      <c r="K31" s="387"/>
      <c r="L31" s="92"/>
      <c r="M31" s="102">
        <v>6</v>
      </c>
      <c r="N31" s="195" t="str">
        <f t="shared" ca="1" si="4"/>
        <v>Pepi</v>
      </c>
      <c r="O31" s="221">
        <f>+O25+2</f>
        <v>4521</v>
      </c>
      <c r="P31" s="214">
        <f>+P25+"01:50"</f>
        <v>0.44791666666666674</v>
      </c>
      <c r="Q31" s="149">
        <f t="shared" si="42"/>
        <v>0.44861111111111118</v>
      </c>
      <c r="R31" s="149">
        <f t="shared" si="43"/>
        <v>0.45000000000000007</v>
      </c>
      <c r="S31" s="149">
        <f t="shared" si="28"/>
        <v>0.45138888888888895</v>
      </c>
      <c r="T31" s="149">
        <f t="shared" si="29"/>
        <v>0.45208333333333339</v>
      </c>
      <c r="U31" s="150">
        <f t="shared" si="44"/>
        <v>0.45208333333333339</v>
      </c>
      <c r="V31" s="149">
        <f t="shared" si="45"/>
        <v>0.45277777777777783</v>
      </c>
      <c r="W31" s="149">
        <f t="shared" si="46"/>
        <v>0.45347222222222228</v>
      </c>
      <c r="X31" s="149">
        <f t="shared" si="47"/>
        <v>0.45486111111111116</v>
      </c>
      <c r="Y31" s="149">
        <f t="shared" si="34"/>
        <v>0.45694444444444449</v>
      </c>
      <c r="Z31" s="151">
        <f t="shared" si="48"/>
        <v>0.45833333333333337</v>
      </c>
      <c r="AA31" s="149">
        <f t="shared" si="36"/>
        <v>0.4604166666666667</v>
      </c>
      <c r="AB31" s="149">
        <f t="shared" si="49"/>
        <v>0.46388888888888891</v>
      </c>
      <c r="AC31" s="149">
        <f t="shared" si="50"/>
        <v>0.46597222222222223</v>
      </c>
      <c r="AD31" s="149">
        <f t="shared" si="51"/>
        <v>0.46805555555555556</v>
      </c>
      <c r="AE31" s="149">
        <f t="shared" si="52"/>
        <v>0.47013888888888888</v>
      </c>
      <c r="AF31" s="157">
        <f t="shared" si="53"/>
        <v>0.47291666666666665</v>
      </c>
      <c r="AG31" s="289"/>
      <c r="AH31" s="73"/>
      <c r="AI31" s="77"/>
      <c r="AJ31" s="77"/>
      <c r="AK31" s="73"/>
      <c r="AL31" s="73"/>
      <c r="AM31" s="74"/>
      <c r="AN31" s="89"/>
      <c r="AO31" s="107"/>
      <c r="AP31" s="424" t="s">
        <v>194</v>
      </c>
      <c r="AQ31" s="424">
        <v>10</v>
      </c>
      <c r="AR31" s="6">
        <f t="shared" ca="1" si="0"/>
        <v>10</v>
      </c>
      <c r="AS31" s="342" t="s">
        <v>8</v>
      </c>
      <c r="AU31" s="10"/>
      <c r="AV31" s="10"/>
      <c r="AW31" s="10"/>
      <c r="AX31" s="10"/>
      <c r="AY31" s="10"/>
      <c r="AZ31" s="10"/>
      <c r="BA31" s="10"/>
    </row>
    <row r="32" spans="1:53" customFormat="1" ht="24" customHeight="1" x14ac:dyDescent="0.35">
      <c r="A32" s="11"/>
      <c r="B32" s="91"/>
      <c r="C32" s="91"/>
      <c r="D32" s="295" t="s">
        <v>144</v>
      </c>
      <c r="E32" s="296">
        <v>0.55763888888888891</v>
      </c>
      <c r="F32" s="296">
        <v>0.625</v>
      </c>
      <c r="G32" s="297" t="str">
        <f ca="1">N50</f>
        <v>Rigo</v>
      </c>
      <c r="H32" s="298"/>
      <c r="I32" s="298"/>
      <c r="J32" s="298"/>
      <c r="K32" s="298"/>
      <c r="L32" s="92"/>
      <c r="M32" s="102">
        <v>154</v>
      </c>
      <c r="N32" s="195" t="e">
        <f t="shared" ca="1" si="4"/>
        <v>#N/A</v>
      </c>
      <c r="O32" s="222">
        <f>O29+2</f>
        <v>4915</v>
      </c>
      <c r="P32" s="214">
        <f>P29+"01:00"</f>
        <v>0.46180555555555564</v>
      </c>
      <c r="Q32" s="149">
        <f t="shared" si="42"/>
        <v>0.46250000000000008</v>
      </c>
      <c r="R32" s="149">
        <f t="shared" si="43"/>
        <v>0.46388888888888896</v>
      </c>
      <c r="S32" s="149">
        <f t="shared" si="28"/>
        <v>0.46527777777777785</v>
      </c>
      <c r="T32" s="149">
        <f t="shared" si="29"/>
        <v>0.46597222222222229</v>
      </c>
      <c r="U32" s="150">
        <f t="shared" si="44"/>
        <v>0.46597222222222229</v>
      </c>
      <c r="V32" s="149">
        <f t="shared" si="45"/>
        <v>0.46666666666666673</v>
      </c>
      <c r="W32" s="149">
        <f t="shared" si="46"/>
        <v>0.46736111111111117</v>
      </c>
      <c r="X32" s="149">
        <f t="shared" si="47"/>
        <v>0.46875000000000006</v>
      </c>
      <c r="Y32" s="149">
        <f t="shared" si="34"/>
        <v>0.47083333333333338</v>
      </c>
      <c r="Z32" s="151">
        <f t="shared" si="48"/>
        <v>0.47222222222222227</v>
      </c>
      <c r="AA32" s="149">
        <f t="shared" si="36"/>
        <v>0.47430555555555559</v>
      </c>
      <c r="AB32" s="149">
        <f t="shared" si="49"/>
        <v>0.4777777777777778</v>
      </c>
      <c r="AC32" s="149">
        <f t="shared" si="50"/>
        <v>0.47986111111111113</v>
      </c>
      <c r="AD32" s="149">
        <f t="shared" si="51"/>
        <v>0.48194444444444445</v>
      </c>
      <c r="AE32" s="149">
        <f t="shared" si="52"/>
        <v>0.48402777777777778</v>
      </c>
      <c r="AF32" s="156">
        <f t="shared" si="53"/>
        <v>0.48680555555555555</v>
      </c>
      <c r="AG32" s="290">
        <f>SUM(AF32+"0:02")</f>
        <v>0.48819444444444443</v>
      </c>
      <c r="AH32" s="149">
        <f>SUM(AG32+"0:01")</f>
        <v>0.48888888888888887</v>
      </c>
      <c r="AI32" s="149">
        <f>SUM(AH32+"0:04")</f>
        <v>0.49166666666666664</v>
      </c>
      <c r="AJ32" s="149">
        <f>SUM(AI32+"0:00")</f>
        <v>0.49166666666666664</v>
      </c>
      <c r="AK32" s="149">
        <f>SUM(AJ32+"0:10")</f>
        <v>0.49861111111111106</v>
      </c>
      <c r="AL32" s="149">
        <f>SUM(AK32+"0:04")</f>
        <v>0.50138888888888888</v>
      </c>
      <c r="AM32" s="61">
        <f>SUM(AL32+"0:06")</f>
        <v>0.50555555555555554</v>
      </c>
      <c r="AN32" s="96">
        <f>SUM(AM32+"0:09")</f>
        <v>0.51180555555555551</v>
      </c>
      <c r="AO32" s="107"/>
      <c r="AP32" s="418" t="s">
        <v>182</v>
      </c>
      <c r="AQ32" s="418" t="s">
        <v>182</v>
      </c>
      <c r="AR32" s="6" t="e">
        <f t="shared" ca="1" si="0"/>
        <v>#VALUE!</v>
      </c>
      <c r="AS32" s="342" t="s">
        <v>106</v>
      </c>
      <c r="AU32" s="10"/>
      <c r="AV32" s="10"/>
      <c r="AW32" s="10"/>
      <c r="AX32" s="10"/>
      <c r="AY32" s="10"/>
      <c r="AZ32" s="10"/>
      <c r="BA32" s="10"/>
    </row>
    <row r="33" spans="1:53" customFormat="1" ht="24" customHeight="1" x14ac:dyDescent="0.45">
      <c r="A33" s="11"/>
      <c r="B33" s="91"/>
      <c r="C33" s="91"/>
      <c r="D33" s="299"/>
      <c r="E33" s="298"/>
      <c r="F33" s="323" t="s">
        <v>145</v>
      </c>
      <c r="G33" s="301">
        <v>0.57291666666666663</v>
      </c>
      <c r="H33" s="302">
        <v>0.60416666666666663</v>
      </c>
      <c r="I33" s="303" t="str">
        <f ca="1">N47</f>
        <v>Tomeu Moya</v>
      </c>
      <c r="J33" s="298"/>
      <c r="K33" s="298"/>
      <c r="L33" s="92"/>
      <c r="M33" s="102">
        <v>1</v>
      </c>
      <c r="N33" s="195" t="str">
        <f t="shared" ca="1" si="4"/>
        <v>Mika</v>
      </c>
      <c r="O33" s="220">
        <f>O30+2</f>
        <v>4717</v>
      </c>
      <c r="P33" s="214">
        <f>P30+"01:00"</f>
        <v>0.47569444444444453</v>
      </c>
      <c r="Q33" s="149">
        <f t="shared" si="42"/>
        <v>0.47638888888888897</v>
      </c>
      <c r="R33" s="149">
        <f t="shared" si="43"/>
        <v>0.47777777777777786</v>
      </c>
      <c r="S33" s="149">
        <f t="shared" si="28"/>
        <v>0.47916666666666674</v>
      </c>
      <c r="T33" s="149">
        <f t="shared" si="29"/>
        <v>0.47986111111111118</v>
      </c>
      <c r="U33" s="150">
        <f t="shared" si="44"/>
        <v>0.47986111111111118</v>
      </c>
      <c r="V33" s="149">
        <f t="shared" si="45"/>
        <v>0.48055555555555562</v>
      </c>
      <c r="W33" s="149">
        <f t="shared" si="46"/>
        <v>0.48125000000000007</v>
      </c>
      <c r="X33" s="149">
        <f t="shared" si="47"/>
        <v>0.48263888888888895</v>
      </c>
      <c r="Y33" s="149">
        <f t="shared" si="34"/>
        <v>0.48472222222222228</v>
      </c>
      <c r="Z33" s="151">
        <f t="shared" si="48"/>
        <v>0.48611111111111116</v>
      </c>
      <c r="AA33" s="149">
        <f t="shared" si="36"/>
        <v>0.48819444444444449</v>
      </c>
      <c r="AB33" s="149">
        <f t="shared" si="49"/>
        <v>0.4916666666666667</v>
      </c>
      <c r="AC33" s="149">
        <f t="shared" si="50"/>
        <v>0.49375000000000002</v>
      </c>
      <c r="AD33" s="149">
        <f t="shared" si="51"/>
        <v>0.49583333333333335</v>
      </c>
      <c r="AE33" s="149">
        <f t="shared" si="52"/>
        <v>0.49791666666666667</v>
      </c>
      <c r="AF33" s="156">
        <f t="shared" si="53"/>
        <v>0.50069444444444444</v>
      </c>
      <c r="AG33" s="288">
        <f>SUM(AF33+"0:02")</f>
        <v>0.50208333333333333</v>
      </c>
      <c r="AH33" s="159">
        <f>SUM(AG33+"0:01")</f>
        <v>0.50277777777777777</v>
      </c>
      <c r="AI33" s="159">
        <f>SUM(AH33+"0:04")</f>
        <v>0.50555555555555554</v>
      </c>
      <c r="AJ33" s="159">
        <f>SUM(AI33+"0:01")</f>
        <v>0.50624999999999998</v>
      </c>
      <c r="AK33" s="159">
        <f>SUM(AJ33+"0:04")</f>
        <v>0.50902777777777775</v>
      </c>
      <c r="AL33" s="159">
        <f>SUM(AK33+"0:04")</f>
        <v>0.51180555555555551</v>
      </c>
      <c r="AM33" s="70">
        <f>SUM(AL33+"0:04")</f>
        <v>0.51458333333333328</v>
      </c>
      <c r="AN33" s="95"/>
      <c r="AO33" s="107"/>
      <c r="AP33" s="418" t="s">
        <v>182</v>
      </c>
      <c r="AQ33" s="418" t="s">
        <v>182</v>
      </c>
      <c r="AR33" s="6" t="e">
        <f t="shared" ca="1" si="0"/>
        <v>#VALUE!</v>
      </c>
      <c r="AS33" s="342" t="s">
        <v>107</v>
      </c>
      <c r="AU33" s="10"/>
      <c r="AV33" s="10"/>
      <c r="AW33" s="10"/>
      <c r="AX33" s="10"/>
      <c r="AY33" s="10"/>
      <c r="AZ33" s="10"/>
      <c r="BA33" s="10"/>
    </row>
    <row r="34" spans="1:53" customFormat="1" ht="24" customHeight="1" x14ac:dyDescent="0.45">
      <c r="A34" s="11"/>
      <c r="B34" s="380"/>
      <c r="C34" s="380"/>
      <c r="D34" s="299"/>
      <c r="E34" s="298"/>
      <c r="F34" s="298"/>
      <c r="G34" s="303" t="s">
        <v>146</v>
      </c>
      <c r="H34" s="301">
        <v>0.57638888888888884</v>
      </c>
      <c r="I34" s="302">
        <v>0.61111111111111116</v>
      </c>
      <c r="J34" s="303" t="str">
        <f ca="1">N48</f>
        <v>Koala</v>
      </c>
      <c r="K34" s="298"/>
      <c r="L34" s="380"/>
      <c r="M34" s="102">
        <v>3</v>
      </c>
      <c r="N34" s="195" t="str">
        <f t="shared" ca="1" si="4"/>
        <v xml:space="preserve">Eugenio </v>
      </c>
      <c r="O34" s="221">
        <f>+O31+2</f>
        <v>4523</v>
      </c>
      <c r="P34" s="214">
        <f>+P28+"01:10"</f>
        <v>0.45486111111111116</v>
      </c>
      <c r="Q34" s="149">
        <f t="shared" si="42"/>
        <v>0.4555555555555556</v>
      </c>
      <c r="R34" s="149">
        <f t="shared" si="43"/>
        <v>0.45694444444444449</v>
      </c>
      <c r="S34" s="149">
        <f t="shared" si="28"/>
        <v>0.45833333333333337</v>
      </c>
      <c r="T34" s="149">
        <f t="shared" si="29"/>
        <v>0.45902777777777781</v>
      </c>
      <c r="U34" s="150">
        <f t="shared" si="44"/>
        <v>0.45902777777777781</v>
      </c>
      <c r="V34" s="149">
        <f t="shared" si="45"/>
        <v>0.45972222222222225</v>
      </c>
      <c r="W34" s="149">
        <f t="shared" si="46"/>
        <v>0.4604166666666667</v>
      </c>
      <c r="X34" s="149">
        <f t="shared" si="47"/>
        <v>0.46180555555555558</v>
      </c>
      <c r="Y34" s="149">
        <f t="shared" si="34"/>
        <v>0.46388888888888891</v>
      </c>
      <c r="Z34" s="151">
        <f t="shared" si="48"/>
        <v>0.46527777777777779</v>
      </c>
      <c r="AA34" s="149">
        <f t="shared" si="36"/>
        <v>0.46736111111111112</v>
      </c>
      <c r="AB34" s="149">
        <f t="shared" si="49"/>
        <v>0.47083333333333333</v>
      </c>
      <c r="AC34" s="149">
        <f t="shared" si="50"/>
        <v>0.47291666666666665</v>
      </c>
      <c r="AD34" s="149">
        <f t="shared" si="51"/>
        <v>0.47499999999999998</v>
      </c>
      <c r="AE34" s="149">
        <f t="shared" si="52"/>
        <v>0.4770833333333333</v>
      </c>
      <c r="AF34" s="156">
        <f t="shared" si="53"/>
        <v>0.47986111111111107</v>
      </c>
      <c r="AG34" s="289"/>
      <c r="AH34" s="73"/>
      <c r="AI34" s="77"/>
      <c r="AJ34" s="77"/>
      <c r="AK34" s="73"/>
      <c r="AL34" s="73"/>
      <c r="AM34" s="74"/>
      <c r="AN34" s="86"/>
      <c r="AO34" s="107"/>
      <c r="AP34" s="415" t="s">
        <v>183</v>
      </c>
      <c r="AQ34" s="415" t="s">
        <v>183</v>
      </c>
      <c r="AR34" s="6" t="e">
        <f t="shared" ca="1" si="0"/>
        <v>#VALUE!</v>
      </c>
      <c r="AS34" s="341" t="s">
        <v>59</v>
      </c>
      <c r="AU34" s="10"/>
      <c r="AV34" s="10"/>
      <c r="AW34" s="10"/>
      <c r="AX34" s="10"/>
      <c r="AY34" s="10"/>
      <c r="AZ34" s="10"/>
      <c r="BA34" s="10"/>
    </row>
    <row r="35" spans="1:53" customFormat="1" ht="24" customHeight="1" x14ac:dyDescent="0.45">
      <c r="A35" s="11"/>
      <c r="B35" s="380"/>
      <c r="C35" s="380"/>
      <c r="D35" s="299"/>
      <c r="E35" s="298"/>
      <c r="F35" s="298"/>
      <c r="G35" s="298"/>
      <c r="H35" s="304" t="s">
        <v>148</v>
      </c>
      <c r="I35" s="301">
        <v>0.58680555555555558</v>
      </c>
      <c r="J35" s="296">
        <v>0.63194444444444442</v>
      </c>
      <c r="K35" s="303" t="str">
        <f ca="1">N67</f>
        <v>Jaime Sastre</v>
      </c>
      <c r="L35" s="380"/>
      <c r="M35" s="102">
        <v>201</v>
      </c>
      <c r="N35" s="195" t="str">
        <f t="shared" ca="1" si="4"/>
        <v>Pere Estrany</v>
      </c>
      <c r="O35" s="222">
        <f>O32+2</f>
        <v>4917</v>
      </c>
      <c r="P35" s="214">
        <f>P32+"01:00"</f>
        <v>0.50347222222222232</v>
      </c>
      <c r="Q35" s="149">
        <f t="shared" si="42"/>
        <v>0.50416666666666676</v>
      </c>
      <c r="R35" s="149">
        <f t="shared" si="43"/>
        <v>0.50555555555555565</v>
      </c>
      <c r="S35" s="149">
        <f t="shared" si="28"/>
        <v>0.50694444444444453</v>
      </c>
      <c r="T35" s="149">
        <f t="shared" si="29"/>
        <v>0.50763888888888897</v>
      </c>
      <c r="U35" s="150">
        <f t="shared" si="44"/>
        <v>0.50763888888888897</v>
      </c>
      <c r="V35" s="149">
        <f t="shared" si="45"/>
        <v>0.50833333333333341</v>
      </c>
      <c r="W35" s="149">
        <f t="shared" si="46"/>
        <v>0.50902777777777786</v>
      </c>
      <c r="X35" s="149">
        <f t="shared" si="47"/>
        <v>0.51041666666666674</v>
      </c>
      <c r="Y35" s="149">
        <f t="shared" si="34"/>
        <v>0.51250000000000007</v>
      </c>
      <c r="Z35" s="151">
        <f t="shared" si="48"/>
        <v>0.51388888888888895</v>
      </c>
      <c r="AA35" s="149">
        <f t="shared" si="36"/>
        <v>0.51597222222222228</v>
      </c>
      <c r="AB35" s="149">
        <f t="shared" si="49"/>
        <v>0.51944444444444449</v>
      </c>
      <c r="AC35" s="149">
        <f t="shared" si="50"/>
        <v>0.52152777777777781</v>
      </c>
      <c r="AD35" s="149">
        <f t="shared" si="51"/>
        <v>0.52361111111111114</v>
      </c>
      <c r="AE35" s="149">
        <f t="shared" si="52"/>
        <v>0.52569444444444446</v>
      </c>
      <c r="AF35" s="156">
        <f t="shared" si="53"/>
        <v>0.52847222222222223</v>
      </c>
      <c r="AG35" s="290">
        <f>SUM(AF35+"0:02")</f>
        <v>0.52986111111111112</v>
      </c>
      <c r="AH35" s="149">
        <f>SUM(AG35+"0:01")</f>
        <v>0.53055555555555556</v>
      </c>
      <c r="AI35" s="149">
        <f>SUM(AH35+"0:04")</f>
        <v>0.53333333333333333</v>
      </c>
      <c r="AJ35" s="149">
        <f>SUM(AI35+"0:00")</f>
        <v>0.53333333333333333</v>
      </c>
      <c r="AK35" s="149">
        <f>SUM(AJ35+"0:10")</f>
        <v>0.54027777777777775</v>
      </c>
      <c r="AL35" s="149">
        <f>SUM(AK35+"0:04")</f>
        <v>0.54305555555555551</v>
      </c>
      <c r="AM35" s="61">
        <f>SUM(AL35+"0:06")</f>
        <v>0.54722222222222217</v>
      </c>
      <c r="AN35" s="96">
        <f>SUM(AM35+"0:09")</f>
        <v>0.55347222222222214</v>
      </c>
      <c r="AO35" s="107"/>
      <c r="AP35" s="418" t="s">
        <v>182</v>
      </c>
      <c r="AQ35" s="418" t="s">
        <v>182</v>
      </c>
      <c r="AR35" s="6" t="e">
        <f t="shared" ca="1" si="0"/>
        <v>#VALUE!</v>
      </c>
      <c r="AS35" s="342" t="s">
        <v>60</v>
      </c>
      <c r="AU35" s="10"/>
      <c r="AV35" s="10"/>
      <c r="AW35" s="10"/>
      <c r="AX35" s="10"/>
      <c r="AY35" s="10"/>
      <c r="AZ35" s="10"/>
      <c r="BA35" s="10"/>
    </row>
    <row r="36" spans="1:53" customFormat="1" ht="24" customHeight="1" x14ac:dyDescent="0.45">
      <c r="A36" s="11"/>
      <c r="B36" s="380"/>
      <c r="C36" s="380"/>
      <c r="D36" s="299"/>
      <c r="E36" s="298"/>
      <c r="F36" s="298"/>
      <c r="G36" s="298"/>
      <c r="H36" s="303" t="s">
        <v>147</v>
      </c>
      <c r="I36" s="301">
        <v>0.62152777777777779</v>
      </c>
      <c r="J36" s="296">
        <v>0.63888888888888884</v>
      </c>
      <c r="K36" s="303" t="str">
        <f ca="1">N52</f>
        <v>Juanjo</v>
      </c>
      <c r="L36" s="93"/>
      <c r="M36" s="102">
        <v>4</v>
      </c>
      <c r="N36" s="195" t="str">
        <f t="shared" ca="1" si="4"/>
        <v>Ferriol</v>
      </c>
      <c r="O36" s="220">
        <f>O33+2</f>
        <v>4719</v>
      </c>
      <c r="P36" s="214">
        <f>P33+"01:00"</f>
        <v>0.51736111111111116</v>
      </c>
      <c r="Q36" s="149">
        <f t="shared" si="42"/>
        <v>0.5180555555555556</v>
      </c>
      <c r="R36" s="149">
        <f t="shared" si="43"/>
        <v>0.51944444444444449</v>
      </c>
      <c r="S36" s="149">
        <f t="shared" si="28"/>
        <v>0.52083333333333337</v>
      </c>
      <c r="T36" s="149">
        <f t="shared" si="29"/>
        <v>0.52152777777777781</v>
      </c>
      <c r="U36" s="150">
        <f t="shared" si="44"/>
        <v>0.52152777777777781</v>
      </c>
      <c r="V36" s="149">
        <f t="shared" si="45"/>
        <v>0.52222222222222225</v>
      </c>
      <c r="W36" s="149">
        <f t="shared" si="46"/>
        <v>0.5229166666666667</v>
      </c>
      <c r="X36" s="149">
        <f t="shared" si="47"/>
        <v>0.52430555555555558</v>
      </c>
      <c r="Y36" s="149">
        <f t="shared" si="34"/>
        <v>0.52638888888888891</v>
      </c>
      <c r="Z36" s="151">
        <f t="shared" si="48"/>
        <v>0.52777777777777779</v>
      </c>
      <c r="AA36" s="149">
        <f t="shared" si="36"/>
        <v>0.52986111111111112</v>
      </c>
      <c r="AB36" s="149">
        <f t="shared" si="49"/>
        <v>0.53333333333333333</v>
      </c>
      <c r="AC36" s="149">
        <f t="shared" si="50"/>
        <v>0.53541666666666665</v>
      </c>
      <c r="AD36" s="149">
        <f t="shared" si="51"/>
        <v>0.53749999999999998</v>
      </c>
      <c r="AE36" s="149">
        <f t="shared" si="52"/>
        <v>0.5395833333333333</v>
      </c>
      <c r="AF36" s="156">
        <f t="shared" si="53"/>
        <v>0.54236111111111107</v>
      </c>
      <c r="AG36" s="288">
        <f>SUM(AF36+"0:02")</f>
        <v>0.54374999999999996</v>
      </c>
      <c r="AH36" s="159">
        <f>SUM(AG36+"0:01")</f>
        <v>0.5444444444444444</v>
      </c>
      <c r="AI36" s="159">
        <f>SUM(AH36+"0:04")</f>
        <v>0.54722222222222217</v>
      </c>
      <c r="AJ36" s="159">
        <f>SUM(AI36+"0:01")</f>
        <v>0.54791666666666661</v>
      </c>
      <c r="AK36" s="159">
        <f>SUM(AJ36+"0:04")</f>
        <v>0.55069444444444438</v>
      </c>
      <c r="AL36" s="159">
        <f>SUM(AK36+"0:04")</f>
        <v>0.55347222222222214</v>
      </c>
      <c r="AM36" s="70">
        <f>SUM(AL36+"0:04")</f>
        <v>0.55624999999999991</v>
      </c>
      <c r="AN36" s="95"/>
      <c r="AO36" s="107"/>
      <c r="AP36" s="418" t="s">
        <v>182</v>
      </c>
      <c r="AQ36" s="418" t="s">
        <v>182</v>
      </c>
      <c r="AR36" s="6" t="e">
        <f t="shared" ca="1" si="0"/>
        <v>#VALUE!</v>
      </c>
      <c r="AS36" s="342" t="s">
        <v>61</v>
      </c>
      <c r="AU36" s="10"/>
      <c r="AV36" s="10"/>
      <c r="AW36" s="10"/>
      <c r="AX36" s="10"/>
      <c r="AY36" s="10"/>
      <c r="AZ36" s="10"/>
      <c r="BA36" s="10"/>
    </row>
    <row r="37" spans="1:53" customFormat="1" ht="24" customHeight="1" x14ac:dyDescent="0.35">
      <c r="A37" s="11"/>
      <c r="B37" s="380"/>
      <c r="C37" s="380"/>
      <c r="D37" s="303" t="s">
        <v>150</v>
      </c>
      <c r="E37" s="302">
        <v>0.71180555555555558</v>
      </c>
      <c r="F37" s="302">
        <v>0.72916666666666663</v>
      </c>
      <c r="G37" s="303" t="str">
        <f ca="1">N53</f>
        <v>C, Jaume</v>
      </c>
      <c r="H37" s="298"/>
      <c r="I37" s="298"/>
      <c r="J37" s="298"/>
      <c r="K37" s="298"/>
      <c r="L37" s="92"/>
      <c r="M37" s="102">
        <v>32</v>
      </c>
      <c r="N37" s="195" t="str">
        <f t="shared" ca="1" si="4"/>
        <v>Calafat</v>
      </c>
      <c r="O37" s="221">
        <f>+O34+2</f>
        <v>4525</v>
      </c>
      <c r="P37" s="214">
        <v>0.53125</v>
      </c>
      <c r="Q37" s="149">
        <f t="shared" si="42"/>
        <v>0.53194444444444444</v>
      </c>
      <c r="R37" s="149">
        <f t="shared" si="43"/>
        <v>0.53333333333333333</v>
      </c>
      <c r="S37" s="149">
        <f t="shared" si="28"/>
        <v>0.53472222222222221</v>
      </c>
      <c r="T37" s="149">
        <f t="shared" si="29"/>
        <v>0.53541666666666665</v>
      </c>
      <c r="U37" s="150">
        <f t="shared" si="44"/>
        <v>0.53541666666666665</v>
      </c>
      <c r="V37" s="149">
        <f t="shared" si="45"/>
        <v>0.53611111111111109</v>
      </c>
      <c r="W37" s="149">
        <f t="shared" si="46"/>
        <v>0.53680555555555554</v>
      </c>
      <c r="X37" s="149">
        <f t="shared" si="47"/>
        <v>0.53819444444444442</v>
      </c>
      <c r="Y37" s="149">
        <f t="shared" si="34"/>
        <v>0.54027777777777775</v>
      </c>
      <c r="Z37" s="151">
        <f t="shared" si="48"/>
        <v>0.54166666666666663</v>
      </c>
      <c r="AA37" s="149">
        <f t="shared" si="36"/>
        <v>0.54374999999999996</v>
      </c>
      <c r="AB37" s="149">
        <f t="shared" si="49"/>
        <v>0.54722222222222217</v>
      </c>
      <c r="AC37" s="149">
        <f t="shared" si="50"/>
        <v>0.54930555555555549</v>
      </c>
      <c r="AD37" s="149">
        <f t="shared" si="51"/>
        <v>0.55138888888888882</v>
      </c>
      <c r="AE37" s="149">
        <f t="shared" si="52"/>
        <v>0.55347222222222214</v>
      </c>
      <c r="AF37" s="157">
        <f t="shared" si="53"/>
        <v>0.55624999999999991</v>
      </c>
      <c r="AG37" s="289"/>
      <c r="AH37" s="73"/>
      <c r="AI37" s="77"/>
      <c r="AJ37" s="77"/>
      <c r="AK37" s="73"/>
      <c r="AL37" s="73"/>
      <c r="AM37" s="74"/>
      <c r="AN37" s="89"/>
      <c r="AO37" s="107"/>
      <c r="AP37" s="423" t="s">
        <v>195</v>
      </c>
      <c r="AQ37" s="423" t="s">
        <v>184</v>
      </c>
      <c r="AR37" s="6" t="e">
        <f t="shared" ca="1" si="0"/>
        <v>#VALUE!</v>
      </c>
      <c r="AS37" s="342" t="s">
        <v>43</v>
      </c>
      <c r="AU37" s="10"/>
      <c r="AV37" s="10"/>
      <c r="AW37" s="10"/>
      <c r="AX37" s="10"/>
      <c r="AY37" s="10"/>
      <c r="AZ37" s="10"/>
      <c r="BA37" s="10"/>
    </row>
    <row r="38" spans="1:53" customFormat="1" ht="24" customHeight="1" x14ac:dyDescent="0.35">
      <c r="A38" s="11"/>
      <c r="B38" s="380"/>
      <c r="C38" s="380"/>
      <c r="D38" s="303" t="s">
        <v>149</v>
      </c>
      <c r="E38" s="302">
        <v>0.71875</v>
      </c>
      <c r="F38" s="302">
        <v>0.74305555555555558</v>
      </c>
      <c r="G38" s="303" t="e">
        <f ca="1">N46</f>
        <v>#N/A</v>
      </c>
      <c r="H38" s="298"/>
      <c r="I38" s="298"/>
      <c r="J38" s="298"/>
      <c r="K38" s="298"/>
      <c r="L38" s="93"/>
      <c r="M38" s="102">
        <v>101</v>
      </c>
      <c r="N38" s="195" t="str">
        <f t="shared" ca="1" si="4"/>
        <v>M. Febrer</v>
      </c>
      <c r="O38" s="222">
        <f>O35+2</f>
        <v>4919</v>
      </c>
      <c r="P38" s="214">
        <f>P35+"01:00"</f>
        <v>0.54513888888888895</v>
      </c>
      <c r="Q38" s="149">
        <f t="shared" si="42"/>
        <v>0.54583333333333339</v>
      </c>
      <c r="R38" s="149">
        <f t="shared" si="43"/>
        <v>0.54722222222222228</v>
      </c>
      <c r="S38" s="149">
        <f t="shared" si="28"/>
        <v>0.54861111111111116</v>
      </c>
      <c r="T38" s="149">
        <f t="shared" si="29"/>
        <v>0.5493055555555556</v>
      </c>
      <c r="U38" s="150">
        <f t="shared" si="44"/>
        <v>0.5493055555555556</v>
      </c>
      <c r="V38" s="149">
        <f t="shared" si="45"/>
        <v>0.55000000000000004</v>
      </c>
      <c r="W38" s="149">
        <f t="shared" si="46"/>
        <v>0.55069444444444449</v>
      </c>
      <c r="X38" s="149">
        <f t="shared" si="47"/>
        <v>0.55208333333333337</v>
      </c>
      <c r="Y38" s="149">
        <f t="shared" si="34"/>
        <v>0.5541666666666667</v>
      </c>
      <c r="Z38" s="151">
        <f t="shared" si="48"/>
        <v>0.55555555555555558</v>
      </c>
      <c r="AA38" s="149">
        <f t="shared" si="36"/>
        <v>0.55763888888888891</v>
      </c>
      <c r="AB38" s="149">
        <f t="shared" si="49"/>
        <v>0.56111111111111112</v>
      </c>
      <c r="AC38" s="149">
        <f t="shared" si="50"/>
        <v>0.56319444444444444</v>
      </c>
      <c r="AD38" s="149">
        <f t="shared" si="51"/>
        <v>0.56527777777777777</v>
      </c>
      <c r="AE38" s="149">
        <f t="shared" si="52"/>
        <v>0.56736111111111109</v>
      </c>
      <c r="AF38" s="156">
        <f t="shared" si="53"/>
        <v>0.57013888888888886</v>
      </c>
      <c r="AG38" s="290">
        <f>SUM(AF38+"0:02")</f>
        <v>0.57152777777777775</v>
      </c>
      <c r="AH38" s="149">
        <f>SUM(AG38+"0:01")</f>
        <v>0.57222222222222219</v>
      </c>
      <c r="AI38" s="149">
        <f>SUM(AH38+"0:04")</f>
        <v>0.57499999999999996</v>
      </c>
      <c r="AJ38" s="149">
        <f>SUM(AI38+"0:00")</f>
        <v>0.57499999999999996</v>
      </c>
      <c r="AK38" s="149">
        <f>SUM(AJ38+"0:10")</f>
        <v>0.58194444444444438</v>
      </c>
      <c r="AL38" s="149">
        <f>SUM(AK38+"0:04")</f>
        <v>0.58472222222222214</v>
      </c>
      <c r="AM38" s="61">
        <f>SUM(AL38+"0:06")</f>
        <v>0.5888888888888888</v>
      </c>
      <c r="AN38" s="96">
        <f>SUM(AM38+"0:09")</f>
        <v>0.59513888888888877</v>
      </c>
      <c r="AO38" s="107"/>
      <c r="AP38" s="415" t="s">
        <v>85</v>
      </c>
      <c r="AQ38" s="415" t="s">
        <v>85</v>
      </c>
      <c r="AR38" s="6" t="e">
        <f t="shared" ca="1" si="0"/>
        <v>#VALUE!</v>
      </c>
      <c r="AS38" s="342" t="s">
        <v>62</v>
      </c>
      <c r="AU38" s="10"/>
      <c r="AV38" s="10"/>
      <c r="AW38" s="10"/>
      <c r="AX38" s="10"/>
      <c r="AY38" s="10"/>
      <c r="AZ38" s="10"/>
      <c r="BA38" s="10"/>
    </row>
    <row r="39" spans="1:53" customFormat="1" ht="24" customHeight="1" x14ac:dyDescent="0.35">
      <c r="A39" s="11">
        <v>91</v>
      </c>
      <c r="B39" s="91"/>
      <c r="C39" s="380"/>
      <c r="D39" s="303" t="s">
        <v>151</v>
      </c>
      <c r="E39" s="302">
        <v>0.72569444444444442</v>
      </c>
      <c r="F39" s="302">
        <v>0.74305555555555558</v>
      </c>
      <c r="G39" s="303" t="str">
        <f ca="1">N55</f>
        <v>Ruben</v>
      </c>
      <c r="H39" s="298"/>
      <c r="I39" s="298"/>
      <c r="J39" s="307"/>
      <c r="K39" s="298"/>
      <c r="L39" s="93"/>
      <c r="M39" s="102">
        <v>152</v>
      </c>
      <c r="N39" s="195" t="str">
        <f t="shared" ca="1" si="4"/>
        <v>Felipe</v>
      </c>
      <c r="O39" s="221">
        <f>+O37+2</f>
        <v>4527</v>
      </c>
      <c r="P39" s="214">
        <f>+P38+"00:10"</f>
        <v>0.55208333333333337</v>
      </c>
      <c r="Q39" s="149">
        <f t="shared" si="42"/>
        <v>0.55277777777777781</v>
      </c>
      <c r="R39" s="149">
        <f t="shared" si="43"/>
        <v>0.5541666666666667</v>
      </c>
      <c r="S39" s="149">
        <f t="shared" si="28"/>
        <v>0.55555555555555558</v>
      </c>
      <c r="T39" s="149">
        <f t="shared" si="29"/>
        <v>0.55625000000000002</v>
      </c>
      <c r="U39" s="150">
        <f t="shared" si="44"/>
        <v>0.55625000000000002</v>
      </c>
      <c r="V39" s="149">
        <f t="shared" si="45"/>
        <v>0.55694444444444446</v>
      </c>
      <c r="W39" s="149">
        <f t="shared" si="46"/>
        <v>0.55763888888888891</v>
      </c>
      <c r="X39" s="149">
        <f t="shared" si="47"/>
        <v>0.55902777777777779</v>
      </c>
      <c r="Y39" s="149">
        <f t="shared" si="34"/>
        <v>0.56111111111111112</v>
      </c>
      <c r="Z39" s="151">
        <f t="shared" si="48"/>
        <v>0.5625</v>
      </c>
      <c r="AA39" s="149">
        <f t="shared" si="36"/>
        <v>0.56458333333333333</v>
      </c>
      <c r="AB39" s="149">
        <f t="shared" si="49"/>
        <v>0.56805555555555554</v>
      </c>
      <c r="AC39" s="149">
        <f t="shared" si="50"/>
        <v>0.57013888888888886</v>
      </c>
      <c r="AD39" s="149">
        <f t="shared" si="51"/>
        <v>0.57222222222222219</v>
      </c>
      <c r="AE39" s="149">
        <f t="shared" si="52"/>
        <v>0.57430555555555551</v>
      </c>
      <c r="AF39" s="157">
        <f t="shared" si="53"/>
        <v>0.57708333333333328</v>
      </c>
      <c r="AG39" s="289"/>
      <c r="AH39" s="73"/>
      <c r="AI39" s="77"/>
      <c r="AJ39" s="77"/>
      <c r="AK39" s="73"/>
      <c r="AL39" s="73"/>
      <c r="AM39" s="74"/>
      <c r="AN39" s="83"/>
      <c r="AO39" s="107"/>
      <c r="AP39" s="421">
        <v>156</v>
      </c>
      <c r="AQ39" s="421">
        <v>33</v>
      </c>
      <c r="AR39" s="6">
        <f t="shared" ca="1" si="0"/>
        <v>33</v>
      </c>
      <c r="AS39" s="344" t="s">
        <v>44</v>
      </c>
      <c r="AU39" s="10"/>
      <c r="AV39" s="10"/>
      <c r="AW39" s="10"/>
      <c r="AX39" s="10"/>
      <c r="AY39" s="10"/>
      <c r="AZ39" s="10"/>
      <c r="BA39" s="10"/>
    </row>
    <row r="40" spans="1:53" customFormat="1" ht="24" customHeight="1" x14ac:dyDescent="0.35">
      <c r="A40" s="11"/>
      <c r="B40" s="91"/>
      <c r="C40" s="380"/>
      <c r="D40" s="303" t="s">
        <v>152</v>
      </c>
      <c r="E40" s="301">
        <v>0.73263888888888884</v>
      </c>
      <c r="F40" s="296">
        <v>0.75694444444444442</v>
      </c>
      <c r="G40" s="303" t="str">
        <f ca="1">N52</f>
        <v>Juanjo</v>
      </c>
      <c r="H40" s="298"/>
      <c r="I40" s="307"/>
      <c r="J40" s="307"/>
      <c r="K40" s="298"/>
      <c r="L40" s="394"/>
      <c r="M40" s="102">
        <v>156</v>
      </c>
      <c r="N40" s="195" t="str">
        <f t="shared" ca="1" si="4"/>
        <v>Ruben</v>
      </c>
      <c r="O40" s="220">
        <f>O36+2</f>
        <v>4721</v>
      </c>
      <c r="P40" s="214">
        <f>P36+"01:00"</f>
        <v>0.55902777777777779</v>
      </c>
      <c r="Q40" s="149">
        <f t="shared" si="42"/>
        <v>0.55972222222222223</v>
      </c>
      <c r="R40" s="149">
        <f t="shared" si="43"/>
        <v>0.56111111111111112</v>
      </c>
      <c r="S40" s="149">
        <f t="shared" si="28"/>
        <v>0.5625</v>
      </c>
      <c r="T40" s="149">
        <f t="shared" si="29"/>
        <v>0.56319444444444444</v>
      </c>
      <c r="U40" s="150">
        <f t="shared" si="44"/>
        <v>0.56319444444444444</v>
      </c>
      <c r="V40" s="149">
        <f t="shared" si="45"/>
        <v>0.56388888888888888</v>
      </c>
      <c r="W40" s="149">
        <f t="shared" si="46"/>
        <v>0.56458333333333333</v>
      </c>
      <c r="X40" s="149">
        <f t="shared" si="47"/>
        <v>0.56597222222222221</v>
      </c>
      <c r="Y40" s="149">
        <f t="shared" si="34"/>
        <v>0.56805555555555554</v>
      </c>
      <c r="Z40" s="151">
        <f t="shared" si="48"/>
        <v>0.56944444444444442</v>
      </c>
      <c r="AA40" s="149">
        <f t="shared" si="36"/>
        <v>0.57152777777777775</v>
      </c>
      <c r="AB40" s="149">
        <f t="shared" si="49"/>
        <v>0.57499999999999996</v>
      </c>
      <c r="AC40" s="149">
        <f t="shared" si="50"/>
        <v>0.57708333333333328</v>
      </c>
      <c r="AD40" s="149">
        <f t="shared" si="51"/>
        <v>0.57916666666666661</v>
      </c>
      <c r="AE40" s="149">
        <f t="shared" si="52"/>
        <v>0.58124999999999993</v>
      </c>
      <c r="AF40" s="156">
        <f t="shared" si="53"/>
        <v>0.5840277777777777</v>
      </c>
      <c r="AG40" s="288">
        <f>SUM(AF40+"0:02")</f>
        <v>0.58541666666666659</v>
      </c>
      <c r="AH40" s="159">
        <f>SUM(AG40+"0:01")</f>
        <v>0.58611111111111103</v>
      </c>
      <c r="AI40" s="159">
        <f>SUM(AH40+"0:04")</f>
        <v>0.5888888888888888</v>
      </c>
      <c r="AJ40" s="159">
        <f>SUM(AI40+"0:01")</f>
        <v>0.58958333333333324</v>
      </c>
      <c r="AK40" s="159">
        <f>SUM(AJ40+"0:04")</f>
        <v>0.59236111111111101</v>
      </c>
      <c r="AL40" s="159">
        <f>SUM(AK40+"0:04")</f>
        <v>0.59513888888888877</v>
      </c>
      <c r="AM40" s="70">
        <f>SUM(AL40+"0:04")</f>
        <v>0.59791666666666654</v>
      </c>
      <c r="AN40" s="95"/>
      <c r="AO40" s="107"/>
      <c r="AP40" s="418" t="s">
        <v>182</v>
      </c>
      <c r="AQ40" s="418" t="s">
        <v>182</v>
      </c>
      <c r="AR40" s="6" t="e">
        <f t="shared" ca="1" si="0"/>
        <v>#VALUE!</v>
      </c>
      <c r="AS40" s="342" t="s">
        <v>45</v>
      </c>
      <c r="AU40" s="10"/>
      <c r="AV40" s="10"/>
      <c r="AW40" s="10"/>
      <c r="AX40" s="10"/>
      <c r="AY40" s="10"/>
      <c r="AZ40" s="10"/>
      <c r="BA40" s="10"/>
    </row>
    <row r="41" spans="1:53" customFormat="1" ht="24" customHeight="1" x14ac:dyDescent="0.35">
      <c r="A41" s="11"/>
      <c r="B41" s="91"/>
      <c r="C41" s="380"/>
      <c r="D41" s="303" t="s">
        <v>153</v>
      </c>
      <c r="E41" s="301">
        <v>0.73958333333333337</v>
      </c>
      <c r="F41" s="296">
        <v>0.77083333333333337</v>
      </c>
      <c r="G41" s="303" t="str">
        <f ca="1">N57</f>
        <v>Miguel Bosch</v>
      </c>
      <c r="H41" s="298"/>
      <c r="I41" s="307"/>
      <c r="J41" s="307"/>
      <c r="K41" s="307"/>
      <c r="L41" s="394"/>
      <c r="M41" s="102">
        <v>7</v>
      </c>
      <c r="N41" s="195" t="str">
        <f t="shared" ca="1" si="4"/>
        <v>Salvador</v>
      </c>
      <c r="O41" s="221">
        <f>+O39+2</f>
        <v>4529</v>
      </c>
      <c r="P41" s="214">
        <f>+P39+"00:20"</f>
        <v>0.56597222222222221</v>
      </c>
      <c r="Q41" s="149">
        <f t="shared" si="42"/>
        <v>0.56666666666666665</v>
      </c>
      <c r="R41" s="149">
        <f t="shared" si="43"/>
        <v>0.56805555555555554</v>
      </c>
      <c r="S41" s="149">
        <f t="shared" si="28"/>
        <v>0.56944444444444442</v>
      </c>
      <c r="T41" s="149">
        <f t="shared" si="29"/>
        <v>0.57013888888888886</v>
      </c>
      <c r="U41" s="150">
        <f t="shared" si="44"/>
        <v>0.57013888888888886</v>
      </c>
      <c r="V41" s="149">
        <f t="shared" si="45"/>
        <v>0.5708333333333333</v>
      </c>
      <c r="W41" s="149">
        <f t="shared" si="46"/>
        <v>0.57152777777777775</v>
      </c>
      <c r="X41" s="149">
        <f t="shared" si="47"/>
        <v>0.57291666666666663</v>
      </c>
      <c r="Y41" s="149">
        <f t="shared" si="34"/>
        <v>0.57499999999999996</v>
      </c>
      <c r="Z41" s="151">
        <f t="shared" si="48"/>
        <v>0.57638888888888884</v>
      </c>
      <c r="AA41" s="149">
        <f t="shared" si="36"/>
        <v>0.57847222222222217</v>
      </c>
      <c r="AB41" s="149">
        <f t="shared" si="49"/>
        <v>0.58194444444444438</v>
      </c>
      <c r="AC41" s="149">
        <f t="shared" si="50"/>
        <v>0.5840277777777777</v>
      </c>
      <c r="AD41" s="149">
        <f t="shared" si="51"/>
        <v>0.58611111111111103</v>
      </c>
      <c r="AE41" s="149">
        <f t="shared" si="52"/>
        <v>0.58819444444444435</v>
      </c>
      <c r="AF41" s="157">
        <f t="shared" si="53"/>
        <v>0.59097222222222212</v>
      </c>
      <c r="AG41" s="289"/>
      <c r="AH41" s="73"/>
      <c r="AI41" s="77"/>
      <c r="AJ41" s="77"/>
      <c r="AK41" s="73"/>
      <c r="AL41" s="73"/>
      <c r="AM41" s="74"/>
      <c r="AN41" s="89"/>
      <c r="AO41" s="107"/>
      <c r="AP41" s="418" t="s">
        <v>182</v>
      </c>
      <c r="AQ41" s="418" t="s">
        <v>182</v>
      </c>
      <c r="AR41" s="6" t="e">
        <f t="shared" ca="1" si="0"/>
        <v>#VALUE!</v>
      </c>
      <c r="AS41" s="342" t="s">
        <v>63</v>
      </c>
      <c r="AU41" s="10"/>
      <c r="AV41" s="10"/>
      <c r="AW41" s="10"/>
      <c r="AX41" s="10"/>
      <c r="AY41" s="10"/>
      <c r="AZ41" s="10"/>
      <c r="BA41" s="10"/>
    </row>
    <row r="42" spans="1:53" customFormat="1" ht="24" customHeight="1" x14ac:dyDescent="0.35">
      <c r="A42" s="11"/>
      <c r="B42" s="91"/>
      <c r="C42" s="380"/>
      <c r="D42" s="303" t="s">
        <v>154</v>
      </c>
      <c r="E42" s="301">
        <v>0.75347222222222221</v>
      </c>
      <c r="F42" s="296">
        <v>0.78472222222222221</v>
      </c>
      <c r="G42" s="303" t="str">
        <f ca="1">N59</f>
        <v>Iniesta</v>
      </c>
      <c r="H42" s="298"/>
      <c r="I42" s="307"/>
      <c r="J42" s="307"/>
      <c r="K42" s="307"/>
      <c r="L42" s="394"/>
      <c r="M42" s="102">
        <v>11</v>
      </c>
      <c r="N42" s="195" t="str">
        <f t="shared" ca="1" si="4"/>
        <v>Yolanda Diaz</v>
      </c>
      <c r="O42" s="222">
        <f>O38+2</f>
        <v>4921</v>
      </c>
      <c r="P42" s="214">
        <f>+P38+"0:40"</f>
        <v>0.57291666666666674</v>
      </c>
      <c r="Q42" s="149">
        <f t="shared" si="42"/>
        <v>0.57361111111111118</v>
      </c>
      <c r="R42" s="149">
        <f t="shared" si="43"/>
        <v>0.57500000000000007</v>
      </c>
      <c r="S42" s="149">
        <f t="shared" si="28"/>
        <v>0.57638888888888895</v>
      </c>
      <c r="T42" s="149">
        <f t="shared" si="29"/>
        <v>0.57708333333333339</v>
      </c>
      <c r="U42" s="150">
        <f t="shared" si="44"/>
        <v>0.57708333333333339</v>
      </c>
      <c r="V42" s="149">
        <f t="shared" si="45"/>
        <v>0.57777777777777783</v>
      </c>
      <c r="W42" s="149">
        <f t="shared" si="46"/>
        <v>0.57847222222222228</v>
      </c>
      <c r="X42" s="149">
        <f t="shared" si="47"/>
        <v>0.57986111111111116</v>
      </c>
      <c r="Y42" s="149">
        <f t="shared" si="34"/>
        <v>0.58194444444444449</v>
      </c>
      <c r="Z42" s="151">
        <f t="shared" si="48"/>
        <v>0.58333333333333337</v>
      </c>
      <c r="AA42" s="149">
        <f t="shared" si="36"/>
        <v>0.5854166666666667</v>
      </c>
      <c r="AB42" s="149">
        <f t="shared" si="49"/>
        <v>0.58888888888888891</v>
      </c>
      <c r="AC42" s="149">
        <f t="shared" si="50"/>
        <v>0.59097222222222223</v>
      </c>
      <c r="AD42" s="149">
        <f t="shared" si="51"/>
        <v>0.59305555555555556</v>
      </c>
      <c r="AE42" s="149">
        <f t="shared" si="52"/>
        <v>0.59513888888888888</v>
      </c>
      <c r="AF42" s="156">
        <f t="shared" si="53"/>
        <v>0.59791666666666665</v>
      </c>
      <c r="AG42" s="290">
        <f>SUM(AF42+"0:02")</f>
        <v>0.59930555555555554</v>
      </c>
      <c r="AH42" s="149">
        <f>SUM(AG42+"0:01")</f>
        <v>0.6</v>
      </c>
      <c r="AI42" s="149">
        <f>SUM(AH42+"0:04")</f>
        <v>0.60277777777777775</v>
      </c>
      <c r="AJ42" s="149">
        <f>SUM(AI42+"0:00")</f>
        <v>0.60277777777777775</v>
      </c>
      <c r="AK42" s="149">
        <f>SUM(AJ42+"0:08")</f>
        <v>0.60833333333333328</v>
      </c>
      <c r="AL42" s="149">
        <f>SUM(AK42+"0:04")</f>
        <v>0.61111111111111105</v>
      </c>
      <c r="AM42" s="76">
        <f>SUM(AL42+"0:08")</f>
        <v>0.61666666666666659</v>
      </c>
      <c r="AN42" s="96">
        <f>SUM(AM42+"0:09")</f>
        <v>0.62291666666666656</v>
      </c>
      <c r="AO42" s="107"/>
      <c r="AP42" s="418" t="s">
        <v>182</v>
      </c>
      <c r="AQ42" s="418" t="s">
        <v>182</v>
      </c>
      <c r="AR42" s="6" t="e">
        <f t="shared" ca="1" si="0"/>
        <v>#VALUE!</v>
      </c>
      <c r="AS42" s="342" t="s">
        <v>46</v>
      </c>
      <c r="AU42" s="10"/>
      <c r="AV42" s="10"/>
      <c r="AW42" s="10"/>
      <c r="AX42" s="10"/>
      <c r="AY42" s="10"/>
      <c r="AZ42" s="10"/>
      <c r="BA42" s="10"/>
    </row>
    <row r="43" spans="1:53" customFormat="1" ht="24" customHeight="1" x14ac:dyDescent="0.45">
      <c r="A43" s="11">
        <v>91</v>
      </c>
      <c r="B43" s="91"/>
      <c r="C43" s="91"/>
      <c r="D43" s="304" t="s">
        <v>165</v>
      </c>
      <c r="E43" s="301">
        <v>0.76736111111111116</v>
      </c>
      <c r="F43" s="296">
        <v>0.84027777777777779</v>
      </c>
      <c r="G43" s="303" t="str">
        <f ca="1">N61</f>
        <v xml:space="preserve">Lucio </v>
      </c>
      <c r="H43" s="276"/>
      <c r="I43" s="276"/>
      <c r="J43" s="276"/>
      <c r="K43" s="307"/>
      <c r="L43" s="394"/>
      <c r="M43" s="102">
        <v>153</v>
      </c>
      <c r="N43" s="195" t="str">
        <f t="shared" ca="1" si="4"/>
        <v>Atero</v>
      </c>
      <c r="O43" s="221">
        <f>+O41+2</f>
        <v>4531</v>
      </c>
      <c r="P43" s="214">
        <f>+P41+"00:20"</f>
        <v>0.57986111111111105</v>
      </c>
      <c r="Q43" s="149">
        <f t="shared" si="42"/>
        <v>0.58055555555555549</v>
      </c>
      <c r="R43" s="149">
        <f t="shared" si="43"/>
        <v>0.58194444444444438</v>
      </c>
      <c r="S43" s="149">
        <f t="shared" si="28"/>
        <v>0.58333333333333326</v>
      </c>
      <c r="T43" s="149">
        <f t="shared" si="29"/>
        <v>0.5840277777777777</v>
      </c>
      <c r="U43" s="150">
        <f t="shared" si="44"/>
        <v>0.5840277777777777</v>
      </c>
      <c r="V43" s="149">
        <f t="shared" si="45"/>
        <v>0.58472222222222214</v>
      </c>
      <c r="W43" s="149">
        <f t="shared" si="46"/>
        <v>0.58541666666666659</v>
      </c>
      <c r="X43" s="149">
        <f t="shared" si="47"/>
        <v>0.58680555555555547</v>
      </c>
      <c r="Y43" s="149">
        <f t="shared" si="34"/>
        <v>0.5888888888888888</v>
      </c>
      <c r="Z43" s="151">
        <f t="shared" si="48"/>
        <v>0.59027777777777768</v>
      </c>
      <c r="AA43" s="149">
        <f t="shared" si="36"/>
        <v>0.59236111111111101</v>
      </c>
      <c r="AB43" s="149">
        <f t="shared" si="49"/>
        <v>0.59583333333333321</v>
      </c>
      <c r="AC43" s="149">
        <f t="shared" si="50"/>
        <v>0.59791666666666654</v>
      </c>
      <c r="AD43" s="149">
        <f t="shared" si="51"/>
        <v>0.59999999999999987</v>
      </c>
      <c r="AE43" s="149">
        <f t="shared" si="52"/>
        <v>0.60208333333333319</v>
      </c>
      <c r="AF43" s="157">
        <f t="shared" si="53"/>
        <v>0.60486111111111096</v>
      </c>
      <c r="AG43" s="289"/>
      <c r="AH43" s="73"/>
      <c r="AI43" s="77"/>
      <c r="AJ43" s="77"/>
      <c r="AK43" s="73"/>
      <c r="AL43" s="73"/>
      <c r="AM43" s="74"/>
      <c r="AN43" s="83"/>
      <c r="AO43" s="107"/>
      <c r="AP43" s="418" t="s">
        <v>182</v>
      </c>
      <c r="AQ43" s="418" t="s">
        <v>182</v>
      </c>
      <c r="AR43" s="6" t="e">
        <f t="shared" ca="1" si="0"/>
        <v>#VALUE!</v>
      </c>
      <c r="AS43" s="342" t="s">
        <v>109</v>
      </c>
      <c r="AU43" s="10"/>
      <c r="AV43" s="10"/>
      <c r="AW43" s="10"/>
      <c r="AX43" s="10"/>
      <c r="AY43" s="10"/>
      <c r="AZ43" s="10"/>
      <c r="BA43" s="10"/>
    </row>
    <row r="44" spans="1:53" customFormat="1" ht="24" customHeight="1" x14ac:dyDescent="0.35">
      <c r="A44" s="11"/>
      <c r="B44" s="91"/>
      <c r="C44" s="91"/>
      <c r="D44" s="304" t="s">
        <v>156</v>
      </c>
      <c r="E44" s="301">
        <v>0.75694444444444442</v>
      </c>
      <c r="F44" s="296">
        <v>0.82638888888888884</v>
      </c>
      <c r="G44" s="303" t="str">
        <f ca="1">N72</f>
        <v>Miki</v>
      </c>
      <c r="H44" s="307"/>
      <c r="I44" s="366" t="s">
        <v>180</v>
      </c>
      <c r="J44" s="367"/>
      <c r="K44" s="298"/>
      <c r="L44" s="394"/>
      <c r="M44" s="102">
        <v>12</v>
      </c>
      <c r="N44" s="195" t="str">
        <f t="shared" ca="1" si="4"/>
        <v>Iniesta</v>
      </c>
      <c r="O44" s="223">
        <f>O40+2</f>
        <v>4723</v>
      </c>
      <c r="P44" s="214">
        <f>P40+"00:40"</f>
        <v>0.58680555555555558</v>
      </c>
      <c r="Q44" s="149">
        <f t="shared" si="42"/>
        <v>0.58750000000000002</v>
      </c>
      <c r="R44" s="149">
        <f t="shared" si="43"/>
        <v>0.58888888888888891</v>
      </c>
      <c r="S44" s="149">
        <f t="shared" si="28"/>
        <v>0.59027777777777779</v>
      </c>
      <c r="T44" s="149">
        <f t="shared" si="29"/>
        <v>0.59097222222222223</v>
      </c>
      <c r="U44" s="150">
        <f t="shared" si="44"/>
        <v>0.59097222222222223</v>
      </c>
      <c r="V44" s="149">
        <f t="shared" si="45"/>
        <v>0.59166666666666667</v>
      </c>
      <c r="W44" s="149">
        <f t="shared" si="46"/>
        <v>0.59236111111111112</v>
      </c>
      <c r="X44" s="149">
        <f t="shared" si="47"/>
        <v>0.59375</v>
      </c>
      <c r="Y44" s="149">
        <f t="shared" si="34"/>
        <v>0.59583333333333333</v>
      </c>
      <c r="Z44" s="151">
        <f t="shared" si="48"/>
        <v>0.59722222222222221</v>
      </c>
      <c r="AA44" s="149">
        <f t="shared" si="36"/>
        <v>0.59930555555555554</v>
      </c>
      <c r="AB44" s="149">
        <f t="shared" si="49"/>
        <v>0.60277777777777775</v>
      </c>
      <c r="AC44" s="149">
        <f t="shared" si="50"/>
        <v>0.60486111111111107</v>
      </c>
      <c r="AD44" s="149">
        <f t="shared" si="51"/>
        <v>0.6069444444444444</v>
      </c>
      <c r="AE44" s="149">
        <f t="shared" si="52"/>
        <v>0.60902777777777772</v>
      </c>
      <c r="AF44" s="156">
        <f t="shared" si="53"/>
        <v>0.61180555555555549</v>
      </c>
      <c r="AG44" s="288">
        <f>SUM(AF44+"0:02")</f>
        <v>0.61319444444444438</v>
      </c>
      <c r="AH44" s="159">
        <f>SUM(AG44+"0:01")</f>
        <v>0.61388888888888882</v>
      </c>
      <c r="AI44" s="159">
        <f>SUM(AH44+"0:04")</f>
        <v>0.61666666666666659</v>
      </c>
      <c r="AJ44" s="159">
        <f>SUM(AI44+"0:01")</f>
        <v>0.61736111111111103</v>
      </c>
      <c r="AK44" s="159">
        <f>SUM(AJ44+"0:04")</f>
        <v>0.6201388888888888</v>
      </c>
      <c r="AL44" s="159">
        <f>SUM(AK44+"0:04")</f>
        <v>0.62291666666666656</v>
      </c>
      <c r="AM44" s="70">
        <f>SUM(AL44+"0:04")</f>
        <v>0.62569444444444433</v>
      </c>
      <c r="AN44" s="95"/>
      <c r="AO44" s="107"/>
      <c r="AP44" s="425" t="s">
        <v>196</v>
      </c>
      <c r="AQ44" s="425" t="s">
        <v>196</v>
      </c>
      <c r="AR44" s="6">
        <f t="shared" ca="1" si="0"/>
        <v>157</v>
      </c>
      <c r="AS44" s="342" t="s">
        <v>108</v>
      </c>
      <c r="AU44" s="10"/>
      <c r="AV44" s="10"/>
      <c r="AW44" s="10"/>
      <c r="AX44" s="10"/>
      <c r="AY44" s="10"/>
      <c r="AZ44" s="10"/>
      <c r="BA44" s="10"/>
    </row>
    <row r="45" spans="1:53" customFormat="1" ht="24" customHeight="1" x14ac:dyDescent="0.35">
      <c r="A45" s="11"/>
      <c r="B45" s="91"/>
      <c r="C45" s="91"/>
      <c r="D45" s="304" t="s">
        <v>155</v>
      </c>
      <c r="E45" s="301">
        <v>0.77083333333333337</v>
      </c>
      <c r="F45" s="296">
        <v>0.8125</v>
      </c>
      <c r="G45" s="303" t="str">
        <f ca="1">N55</f>
        <v>Ruben</v>
      </c>
      <c r="H45" s="307"/>
      <c r="I45" s="368"/>
      <c r="J45" s="369"/>
      <c r="K45" s="298"/>
      <c r="L45" s="93"/>
      <c r="M45" s="102">
        <v>13</v>
      </c>
      <c r="N45" s="195" t="str">
        <f t="shared" ca="1" si="4"/>
        <v>Florit</v>
      </c>
      <c r="O45" s="221">
        <f>+O43+2</f>
        <v>4533</v>
      </c>
      <c r="P45" s="214">
        <f>+P43+"00:20"</f>
        <v>0.59374999999999989</v>
      </c>
      <c r="Q45" s="149">
        <f t="shared" si="42"/>
        <v>0.59444444444444433</v>
      </c>
      <c r="R45" s="149">
        <f t="shared" si="43"/>
        <v>0.59583333333333321</v>
      </c>
      <c r="S45" s="149">
        <f t="shared" si="28"/>
        <v>0.5972222222222221</v>
      </c>
      <c r="T45" s="149">
        <f t="shared" si="29"/>
        <v>0.59791666666666654</v>
      </c>
      <c r="U45" s="150">
        <f t="shared" si="44"/>
        <v>0.59791666666666654</v>
      </c>
      <c r="V45" s="149">
        <f t="shared" si="45"/>
        <v>0.59861111111111098</v>
      </c>
      <c r="W45" s="149">
        <f t="shared" si="46"/>
        <v>0.59930555555555542</v>
      </c>
      <c r="X45" s="149">
        <f t="shared" si="47"/>
        <v>0.60069444444444431</v>
      </c>
      <c r="Y45" s="149">
        <f t="shared" si="34"/>
        <v>0.60277777777777763</v>
      </c>
      <c r="Z45" s="151">
        <f t="shared" si="48"/>
        <v>0.60416666666666652</v>
      </c>
      <c r="AA45" s="149">
        <f t="shared" si="36"/>
        <v>0.60624999999999984</v>
      </c>
      <c r="AB45" s="149">
        <f t="shared" si="49"/>
        <v>0.60972222222222205</v>
      </c>
      <c r="AC45" s="149">
        <f t="shared" si="50"/>
        <v>0.61180555555555538</v>
      </c>
      <c r="AD45" s="149">
        <f t="shared" si="51"/>
        <v>0.61388888888888871</v>
      </c>
      <c r="AE45" s="149">
        <f t="shared" si="52"/>
        <v>0.61597222222222203</v>
      </c>
      <c r="AF45" s="157">
        <f t="shared" si="53"/>
        <v>0.6187499999999998</v>
      </c>
      <c r="AG45" s="289"/>
      <c r="AH45" s="73"/>
      <c r="AI45" s="77"/>
      <c r="AJ45" s="77"/>
      <c r="AK45" s="73"/>
      <c r="AL45" s="73"/>
      <c r="AM45" s="74"/>
      <c r="AN45" s="89"/>
      <c r="AO45" s="107"/>
      <c r="AP45" s="426" t="s">
        <v>183</v>
      </c>
      <c r="AQ45" s="426" t="s">
        <v>183</v>
      </c>
      <c r="AR45" s="6" t="e">
        <f t="shared" ca="1" si="0"/>
        <v>#VALUE!</v>
      </c>
      <c r="AS45" s="342" t="s">
        <v>9</v>
      </c>
      <c r="AU45" s="10"/>
      <c r="AV45" s="10"/>
      <c r="AW45" s="10"/>
      <c r="AX45" s="10"/>
      <c r="AY45" s="10"/>
      <c r="AZ45" s="10"/>
      <c r="BA45" s="10"/>
    </row>
    <row r="46" spans="1:53" customFormat="1" ht="24" customHeight="1" x14ac:dyDescent="0.35">
      <c r="A46" s="11"/>
      <c r="B46" s="91"/>
      <c r="C46" s="91"/>
      <c r="D46" s="315">
        <v>156</v>
      </c>
      <c r="E46" s="316">
        <v>0.72569444444444442</v>
      </c>
      <c r="F46" s="316">
        <v>0.88541666666666663</v>
      </c>
      <c r="G46" s="309" t="str">
        <f ca="1">N55</f>
        <v>Ruben</v>
      </c>
      <c r="H46" s="324" t="s">
        <v>141</v>
      </c>
      <c r="I46" s="368"/>
      <c r="J46" s="369"/>
      <c r="K46" s="298"/>
      <c r="L46" s="93"/>
      <c r="M46" s="102">
        <v>14</v>
      </c>
      <c r="N46" s="195" t="e">
        <f t="shared" ca="1" si="4"/>
        <v>#N/A</v>
      </c>
      <c r="O46" s="222">
        <f>O42+2</f>
        <v>4923</v>
      </c>
      <c r="P46" s="214">
        <f>+P42+"0:40"</f>
        <v>0.60069444444444453</v>
      </c>
      <c r="Q46" s="149">
        <f t="shared" si="42"/>
        <v>0.60138888888888897</v>
      </c>
      <c r="R46" s="149">
        <f t="shared" si="43"/>
        <v>0.60277777777777786</v>
      </c>
      <c r="S46" s="149">
        <f t="shared" si="28"/>
        <v>0.60416666666666674</v>
      </c>
      <c r="T46" s="149">
        <f t="shared" si="29"/>
        <v>0.60486111111111118</v>
      </c>
      <c r="U46" s="150">
        <f t="shared" si="44"/>
        <v>0.60486111111111118</v>
      </c>
      <c r="V46" s="149">
        <f t="shared" si="45"/>
        <v>0.60555555555555562</v>
      </c>
      <c r="W46" s="149">
        <f t="shared" si="46"/>
        <v>0.60625000000000007</v>
      </c>
      <c r="X46" s="149">
        <f t="shared" si="47"/>
        <v>0.60763888888888895</v>
      </c>
      <c r="Y46" s="149">
        <f t="shared" si="34"/>
        <v>0.60972222222222228</v>
      </c>
      <c r="Z46" s="151">
        <f t="shared" si="48"/>
        <v>0.61111111111111116</v>
      </c>
      <c r="AA46" s="149">
        <f t="shared" si="36"/>
        <v>0.61319444444444449</v>
      </c>
      <c r="AB46" s="149">
        <f t="shared" si="49"/>
        <v>0.6166666666666667</v>
      </c>
      <c r="AC46" s="149">
        <f t="shared" si="50"/>
        <v>0.61875000000000002</v>
      </c>
      <c r="AD46" s="149">
        <f t="shared" si="51"/>
        <v>0.62083333333333335</v>
      </c>
      <c r="AE46" s="149">
        <f t="shared" si="52"/>
        <v>0.62291666666666667</v>
      </c>
      <c r="AF46" s="156">
        <f t="shared" si="53"/>
        <v>0.62569444444444444</v>
      </c>
      <c r="AG46" s="290">
        <f>SUM(AF46+"0:02")</f>
        <v>0.62708333333333333</v>
      </c>
      <c r="AH46" s="149">
        <f>SUM(AG46+"0:01")</f>
        <v>0.62777777777777777</v>
      </c>
      <c r="AI46" s="149">
        <f>SUM(AH46+"0:04")</f>
        <v>0.63055555555555554</v>
      </c>
      <c r="AJ46" s="149">
        <f>SUM(AI46+"0:00")</f>
        <v>0.63055555555555554</v>
      </c>
      <c r="AK46" s="149">
        <f>SUM(AJ46+"0:08")</f>
        <v>0.63611111111111107</v>
      </c>
      <c r="AL46" s="149">
        <f>SUM(AK46+"0:04")</f>
        <v>0.63888888888888884</v>
      </c>
      <c r="AM46" s="76">
        <f>SUM(AL46+"0:08")</f>
        <v>0.64444444444444438</v>
      </c>
      <c r="AN46" s="96">
        <f>SUM(AM46+"0:09")</f>
        <v>0.65069444444444435</v>
      </c>
      <c r="AO46" s="107"/>
      <c r="AP46" s="415" t="s">
        <v>197</v>
      </c>
      <c r="AQ46" s="415" t="s">
        <v>197</v>
      </c>
      <c r="AR46" s="6">
        <f t="shared" ca="1" si="0"/>
        <v>153</v>
      </c>
      <c r="AS46" s="342" t="s">
        <v>52</v>
      </c>
      <c r="AU46" s="10"/>
      <c r="AV46" s="10"/>
      <c r="AW46" s="10"/>
      <c r="AX46" s="10"/>
      <c r="AY46" s="10"/>
      <c r="AZ46" s="10"/>
      <c r="BA46" s="10"/>
    </row>
    <row r="47" spans="1:53" customFormat="1" ht="24" customHeight="1" x14ac:dyDescent="0.45">
      <c r="A47" s="11"/>
      <c r="B47" s="91"/>
      <c r="C47" s="91"/>
      <c r="D47" s="317"/>
      <c r="E47" s="317"/>
      <c r="F47" s="317"/>
      <c r="G47" s="318"/>
      <c r="H47" s="307"/>
      <c r="I47" s="368"/>
      <c r="J47" s="369"/>
      <c r="K47" s="307"/>
      <c r="L47" s="93"/>
      <c r="M47" s="102">
        <v>15</v>
      </c>
      <c r="N47" s="195" t="str">
        <f t="shared" ca="1" si="4"/>
        <v>Tomeu Moya</v>
      </c>
      <c r="O47" s="221">
        <f>+O45+2</f>
        <v>4535</v>
      </c>
      <c r="P47" s="214">
        <f>+P45+"00:20"</f>
        <v>0.60763888888888873</v>
      </c>
      <c r="Q47" s="149">
        <f t="shared" si="42"/>
        <v>0.60833333333333317</v>
      </c>
      <c r="R47" s="149">
        <f t="shared" si="43"/>
        <v>0.60972222222222205</v>
      </c>
      <c r="S47" s="149">
        <f t="shared" si="28"/>
        <v>0.61111111111111094</v>
      </c>
      <c r="T47" s="149">
        <f t="shared" si="29"/>
        <v>0.61180555555555538</v>
      </c>
      <c r="U47" s="150">
        <f t="shared" si="44"/>
        <v>0.61180555555555538</v>
      </c>
      <c r="V47" s="149">
        <f t="shared" si="45"/>
        <v>0.61249999999999982</v>
      </c>
      <c r="W47" s="149">
        <f t="shared" si="46"/>
        <v>0.61319444444444426</v>
      </c>
      <c r="X47" s="149">
        <f t="shared" si="47"/>
        <v>0.61458333333333315</v>
      </c>
      <c r="Y47" s="149">
        <f t="shared" si="34"/>
        <v>0.61666666666666647</v>
      </c>
      <c r="Z47" s="151">
        <f t="shared" si="48"/>
        <v>0.61805555555555536</v>
      </c>
      <c r="AA47" s="149">
        <f t="shared" si="36"/>
        <v>0.62013888888888868</v>
      </c>
      <c r="AB47" s="149">
        <f t="shared" si="49"/>
        <v>0.62361111111111089</v>
      </c>
      <c r="AC47" s="149">
        <f t="shared" si="50"/>
        <v>0.62569444444444422</v>
      </c>
      <c r="AD47" s="149">
        <f t="shared" si="51"/>
        <v>0.62777777777777755</v>
      </c>
      <c r="AE47" s="149">
        <f t="shared" si="52"/>
        <v>0.62986111111111087</v>
      </c>
      <c r="AF47" s="157">
        <f t="shared" si="53"/>
        <v>0.63263888888888864</v>
      </c>
      <c r="AG47" s="289"/>
      <c r="AH47" s="73"/>
      <c r="AI47" s="77"/>
      <c r="AJ47" s="77"/>
      <c r="AK47" s="73"/>
      <c r="AL47" s="73"/>
      <c r="AM47" s="74"/>
      <c r="AN47" s="83"/>
      <c r="AO47" s="107"/>
      <c r="AP47" s="415" t="s">
        <v>183</v>
      </c>
      <c r="AQ47" s="415" t="s">
        <v>183</v>
      </c>
      <c r="AR47" s="6" t="e">
        <f t="shared" ca="1" si="0"/>
        <v>#VALUE!</v>
      </c>
      <c r="AS47" s="342" t="s">
        <v>75</v>
      </c>
      <c r="AU47" s="10"/>
      <c r="AV47" s="10"/>
      <c r="AW47" s="10"/>
      <c r="AX47" s="10"/>
      <c r="AY47" s="10"/>
      <c r="AZ47" s="10"/>
      <c r="BA47" s="10"/>
    </row>
    <row r="48" spans="1:53" customFormat="1" ht="24" customHeight="1" x14ac:dyDescent="0.35">
      <c r="A48" s="11"/>
      <c r="B48" s="91"/>
      <c r="C48" s="91"/>
      <c r="D48" s="304" t="s">
        <v>157</v>
      </c>
      <c r="E48" s="301">
        <v>0.78472222222222221</v>
      </c>
      <c r="F48" s="302">
        <v>0.85416666666666663</v>
      </c>
      <c r="G48" s="303" t="str">
        <f ca="1">N52</f>
        <v>Juanjo</v>
      </c>
      <c r="H48" s="298"/>
      <c r="I48" s="368"/>
      <c r="J48" s="369"/>
      <c r="K48" s="307"/>
      <c r="L48" s="93"/>
      <c r="M48" s="102">
        <v>16</v>
      </c>
      <c r="N48" s="195" t="str">
        <f t="shared" ca="1" si="4"/>
        <v>Koala</v>
      </c>
      <c r="O48" s="220">
        <f>O44+2</f>
        <v>4725</v>
      </c>
      <c r="P48" s="214">
        <f>+P44+"0:40"</f>
        <v>0.61458333333333337</v>
      </c>
      <c r="Q48" s="149">
        <f t="shared" si="42"/>
        <v>0.61527777777777781</v>
      </c>
      <c r="R48" s="149">
        <f t="shared" si="43"/>
        <v>0.6166666666666667</v>
      </c>
      <c r="S48" s="149">
        <f t="shared" si="28"/>
        <v>0.61805555555555558</v>
      </c>
      <c r="T48" s="149">
        <f t="shared" si="29"/>
        <v>0.61875000000000002</v>
      </c>
      <c r="U48" s="150">
        <f t="shared" si="44"/>
        <v>0.61875000000000002</v>
      </c>
      <c r="V48" s="149">
        <f t="shared" si="45"/>
        <v>0.61944444444444446</v>
      </c>
      <c r="W48" s="149">
        <f t="shared" si="46"/>
        <v>0.62013888888888891</v>
      </c>
      <c r="X48" s="149">
        <f t="shared" si="47"/>
        <v>0.62152777777777779</v>
      </c>
      <c r="Y48" s="149">
        <f t="shared" si="34"/>
        <v>0.62361111111111112</v>
      </c>
      <c r="Z48" s="151">
        <f t="shared" si="48"/>
        <v>0.625</v>
      </c>
      <c r="AA48" s="149">
        <f t="shared" si="36"/>
        <v>0.62708333333333333</v>
      </c>
      <c r="AB48" s="149">
        <f t="shared" si="49"/>
        <v>0.63055555555555554</v>
      </c>
      <c r="AC48" s="149">
        <f t="shared" si="50"/>
        <v>0.63263888888888886</v>
      </c>
      <c r="AD48" s="149">
        <f t="shared" si="51"/>
        <v>0.63472222222222219</v>
      </c>
      <c r="AE48" s="149">
        <f t="shared" si="52"/>
        <v>0.63680555555555551</v>
      </c>
      <c r="AF48" s="156">
        <f t="shared" si="53"/>
        <v>0.63958333333333328</v>
      </c>
      <c r="AG48" s="288">
        <f>SUM(AF48+"0:02")</f>
        <v>0.64097222222222217</v>
      </c>
      <c r="AH48" s="159">
        <f>SUM(AG48+"0:01")</f>
        <v>0.64166666666666661</v>
      </c>
      <c r="AI48" s="159">
        <f>SUM(AH48+"0:04")</f>
        <v>0.64444444444444438</v>
      </c>
      <c r="AJ48" s="159">
        <f>SUM(AI48+"0:01")</f>
        <v>0.64513888888888882</v>
      </c>
      <c r="AK48" s="159">
        <f>SUM(AJ48+"0:04")</f>
        <v>0.64791666666666659</v>
      </c>
      <c r="AL48" s="159">
        <f>SUM(AK48+"0:04")</f>
        <v>0.65069444444444435</v>
      </c>
      <c r="AM48" s="70">
        <f>SUM(AL48+"0:04")</f>
        <v>0.65347222222222212</v>
      </c>
      <c r="AN48" s="95"/>
      <c r="AO48" s="107"/>
      <c r="AP48" s="427">
        <v>17</v>
      </c>
      <c r="AQ48" s="427">
        <v>202</v>
      </c>
      <c r="AR48" s="6">
        <f t="shared" ca="1" si="0"/>
        <v>202</v>
      </c>
      <c r="AS48" s="344" t="s">
        <v>76</v>
      </c>
      <c r="AU48" s="10"/>
      <c r="AV48" s="10"/>
      <c r="AW48" s="10"/>
      <c r="AX48" s="10"/>
      <c r="AY48" s="10"/>
      <c r="AZ48" s="10"/>
      <c r="BA48" s="10"/>
    </row>
    <row r="49" spans="1:53" customFormat="1" ht="24" customHeight="1" x14ac:dyDescent="0.35">
      <c r="A49" s="11"/>
      <c r="B49" s="91"/>
      <c r="C49" s="91"/>
      <c r="D49" s="323" t="s">
        <v>145</v>
      </c>
      <c r="E49" s="301">
        <v>0.78819444444444442</v>
      </c>
      <c r="F49" s="302">
        <v>0.8125</v>
      </c>
      <c r="G49" s="303" t="str">
        <f ca="1">N60</f>
        <v>Tomeu Moya</v>
      </c>
      <c r="H49" s="298"/>
      <c r="I49" s="370"/>
      <c r="J49" s="371"/>
      <c r="K49" s="307"/>
      <c r="L49" s="93"/>
      <c r="M49" s="102">
        <v>17</v>
      </c>
      <c r="N49" s="195" t="str">
        <f t="shared" ca="1" si="4"/>
        <v xml:space="preserve">Lucio </v>
      </c>
      <c r="O49" s="221">
        <f>+O47+2</f>
        <v>4537</v>
      </c>
      <c r="P49" s="214">
        <f>+P47+"00:20"</f>
        <v>0.62152777777777757</v>
      </c>
      <c r="Q49" s="149">
        <f t="shared" si="42"/>
        <v>0.62222222222222201</v>
      </c>
      <c r="R49" s="149">
        <f t="shared" si="43"/>
        <v>0.62361111111111089</v>
      </c>
      <c r="S49" s="149">
        <f t="shared" si="28"/>
        <v>0.62499999999999978</v>
      </c>
      <c r="T49" s="149">
        <f t="shared" si="29"/>
        <v>0.62569444444444422</v>
      </c>
      <c r="U49" s="150">
        <f t="shared" si="44"/>
        <v>0.62569444444444422</v>
      </c>
      <c r="V49" s="149">
        <f t="shared" si="45"/>
        <v>0.62638888888888866</v>
      </c>
      <c r="W49" s="149">
        <f t="shared" si="46"/>
        <v>0.6270833333333331</v>
      </c>
      <c r="X49" s="149">
        <f t="shared" si="47"/>
        <v>0.62847222222222199</v>
      </c>
      <c r="Y49" s="149">
        <f t="shared" si="34"/>
        <v>0.63055555555555531</v>
      </c>
      <c r="Z49" s="151">
        <f t="shared" si="48"/>
        <v>0.6319444444444442</v>
      </c>
      <c r="AA49" s="149">
        <f t="shared" si="36"/>
        <v>0.63402777777777752</v>
      </c>
      <c r="AB49" s="149">
        <f t="shared" si="49"/>
        <v>0.63749999999999973</v>
      </c>
      <c r="AC49" s="149">
        <f t="shared" si="50"/>
        <v>0.63958333333333306</v>
      </c>
      <c r="AD49" s="149">
        <f t="shared" si="51"/>
        <v>0.64166666666666639</v>
      </c>
      <c r="AE49" s="149">
        <f t="shared" si="52"/>
        <v>0.64374999999999971</v>
      </c>
      <c r="AF49" s="157">
        <f t="shared" si="53"/>
        <v>0.64652777777777748</v>
      </c>
      <c r="AG49" s="289"/>
      <c r="AH49" s="73"/>
      <c r="AI49" s="77"/>
      <c r="AJ49" s="77"/>
      <c r="AK49" s="73"/>
      <c r="AL49" s="73"/>
      <c r="AM49" s="74"/>
      <c r="AN49" s="89"/>
      <c r="AO49" s="107"/>
      <c r="AP49" s="415">
        <v>3</v>
      </c>
      <c r="AQ49" s="415">
        <v>3</v>
      </c>
      <c r="AR49" s="6">
        <f t="shared" ca="1" si="0"/>
        <v>3</v>
      </c>
      <c r="AS49" s="342" t="s">
        <v>47</v>
      </c>
      <c r="AU49" s="10"/>
      <c r="AV49" s="10"/>
      <c r="AW49" s="10"/>
      <c r="AX49" s="10"/>
      <c r="AY49" s="10"/>
      <c r="AZ49" s="10"/>
      <c r="BA49" s="10"/>
    </row>
    <row r="50" spans="1:53" customFormat="1" ht="24" customHeight="1" x14ac:dyDescent="0.45">
      <c r="A50" s="11"/>
      <c r="B50" s="91"/>
      <c r="C50" s="91"/>
      <c r="D50" s="304" t="s">
        <v>159</v>
      </c>
      <c r="E50" s="301">
        <v>0.79861111111111116</v>
      </c>
      <c r="F50" s="296">
        <v>0.85416666666666663</v>
      </c>
      <c r="G50" s="303" t="str">
        <f ca="1">N57</f>
        <v>Miguel Bosch</v>
      </c>
      <c r="H50" s="298"/>
      <c r="I50" s="276"/>
      <c r="J50" s="276"/>
      <c r="K50" s="307"/>
      <c r="L50" s="93"/>
      <c r="M50" s="102">
        <v>18</v>
      </c>
      <c r="N50" s="195" t="str">
        <f t="shared" ca="1" si="4"/>
        <v>Rigo</v>
      </c>
      <c r="O50" s="222">
        <f>O46+2</f>
        <v>4925</v>
      </c>
      <c r="P50" s="214">
        <f>+P46+"0:40"</f>
        <v>0.62847222222222232</v>
      </c>
      <c r="Q50" s="149">
        <f t="shared" si="42"/>
        <v>0.62916666666666676</v>
      </c>
      <c r="R50" s="149">
        <f t="shared" si="43"/>
        <v>0.63055555555555565</v>
      </c>
      <c r="S50" s="149">
        <f t="shared" si="28"/>
        <v>0.63194444444444453</v>
      </c>
      <c r="T50" s="149">
        <f t="shared" si="29"/>
        <v>0.63263888888888897</v>
      </c>
      <c r="U50" s="150">
        <f t="shared" si="44"/>
        <v>0.63263888888888897</v>
      </c>
      <c r="V50" s="149">
        <f t="shared" si="45"/>
        <v>0.63333333333333341</v>
      </c>
      <c r="W50" s="149">
        <f t="shared" si="46"/>
        <v>0.63402777777777786</v>
      </c>
      <c r="X50" s="149">
        <f t="shared" si="47"/>
        <v>0.63541666666666674</v>
      </c>
      <c r="Y50" s="149">
        <f t="shared" si="34"/>
        <v>0.63750000000000007</v>
      </c>
      <c r="Z50" s="151">
        <f t="shared" si="48"/>
        <v>0.63888888888888895</v>
      </c>
      <c r="AA50" s="149">
        <f t="shared" si="36"/>
        <v>0.64097222222222228</v>
      </c>
      <c r="AB50" s="149">
        <f t="shared" si="49"/>
        <v>0.64444444444444449</v>
      </c>
      <c r="AC50" s="149">
        <f t="shared" si="50"/>
        <v>0.64652777777777781</v>
      </c>
      <c r="AD50" s="149">
        <f t="shared" si="51"/>
        <v>0.64861111111111114</v>
      </c>
      <c r="AE50" s="149">
        <f t="shared" si="52"/>
        <v>0.65069444444444446</v>
      </c>
      <c r="AF50" s="156">
        <f t="shared" si="53"/>
        <v>0.65347222222222223</v>
      </c>
      <c r="AG50" s="290">
        <f>SUM(AF50+"0:02")</f>
        <v>0.65486111111111112</v>
      </c>
      <c r="AH50" s="149">
        <f>SUM(AG50+"0:01")</f>
        <v>0.65555555555555556</v>
      </c>
      <c r="AI50" s="149">
        <f>SUM(AH50+"0:04")</f>
        <v>0.65833333333333333</v>
      </c>
      <c r="AJ50" s="149">
        <f>SUM(AI50+"0:00")</f>
        <v>0.65833333333333333</v>
      </c>
      <c r="AK50" s="149">
        <f>SUM(AJ50+"0:08")</f>
        <v>0.66388888888888886</v>
      </c>
      <c r="AL50" s="149">
        <f>SUM(AK50+"0:04")</f>
        <v>0.66666666666666663</v>
      </c>
      <c r="AM50" s="76">
        <f>SUM(AL50+"0:08")</f>
        <v>0.67222222222222217</v>
      </c>
      <c r="AN50" s="96">
        <f>SUM(AM50+"0:09")</f>
        <v>0.67847222222222214</v>
      </c>
      <c r="AO50" s="107"/>
      <c r="AP50" s="418" t="s">
        <v>182</v>
      </c>
      <c r="AQ50" s="418" t="s">
        <v>182</v>
      </c>
      <c r="AR50" s="6" t="e">
        <f t="shared" ca="1" si="0"/>
        <v>#VALUE!</v>
      </c>
      <c r="AS50" s="342" t="s">
        <v>48</v>
      </c>
      <c r="AU50" s="10"/>
      <c r="AV50" s="10"/>
      <c r="AW50" s="10"/>
      <c r="AX50" s="10"/>
      <c r="AY50" s="10"/>
      <c r="AZ50" s="10"/>
      <c r="BA50" s="10"/>
    </row>
    <row r="51" spans="1:53" customFormat="1" ht="24" customHeight="1" x14ac:dyDescent="0.35">
      <c r="A51" s="11"/>
      <c r="B51" s="91"/>
      <c r="C51" s="91"/>
      <c r="D51" s="303" t="s">
        <v>158</v>
      </c>
      <c r="E51" s="302">
        <v>0.80208333333333337</v>
      </c>
      <c r="F51" s="302">
        <v>0.84027777777777779</v>
      </c>
      <c r="G51" s="303" t="str">
        <f ca="1">N58</f>
        <v xml:space="preserve">T. Martinez </v>
      </c>
      <c r="H51" s="298"/>
      <c r="I51" s="298"/>
      <c r="J51" s="307"/>
      <c r="K51" s="298"/>
      <c r="L51" s="92"/>
      <c r="M51" s="102">
        <v>34</v>
      </c>
      <c r="N51" s="195" t="str">
        <f t="shared" ca="1" si="4"/>
        <v>Miki</v>
      </c>
      <c r="O51" s="221">
        <f>+O49+2</f>
        <v>4539</v>
      </c>
      <c r="P51" s="214">
        <f>+P49+"00:20"</f>
        <v>0.63541666666666641</v>
      </c>
      <c r="Q51" s="149">
        <f t="shared" si="42"/>
        <v>0.63611111111111085</v>
      </c>
      <c r="R51" s="149">
        <f t="shared" si="43"/>
        <v>0.63749999999999973</v>
      </c>
      <c r="S51" s="149">
        <f t="shared" si="28"/>
        <v>0.63888888888888862</v>
      </c>
      <c r="T51" s="149">
        <f t="shared" si="29"/>
        <v>0.63958333333333306</v>
      </c>
      <c r="U51" s="150">
        <f t="shared" si="44"/>
        <v>0.63958333333333306</v>
      </c>
      <c r="V51" s="149">
        <f t="shared" si="45"/>
        <v>0.6402777777777775</v>
      </c>
      <c r="W51" s="149">
        <f t="shared" si="46"/>
        <v>0.64097222222222194</v>
      </c>
      <c r="X51" s="149">
        <f t="shared" si="47"/>
        <v>0.64236111111111083</v>
      </c>
      <c r="Y51" s="149">
        <f t="shared" si="34"/>
        <v>0.64444444444444415</v>
      </c>
      <c r="Z51" s="151">
        <f t="shared" si="48"/>
        <v>0.64583333333333304</v>
      </c>
      <c r="AA51" s="149">
        <f t="shared" si="36"/>
        <v>0.64791666666666636</v>
      </c>
      <c r="AB51" s="149">
        <f t="shared" si="49"/>
        <v>0.65138888888888857</v>
      </c>
      <c r="AC51" s="149">
        <f t="shared" si="50"/>
        <v>0.6534722222222219</v>
      </c>
      <c r="AD51" s="149">
        <f t="shared" si="51"/>
        <v>0.65555555555555522</v>
      </c>
      <c r="AE51" s="149">
        <f t="shared" si="52"/>
        <v>0.65763888888888855</v>
      </c>
      <c r="AF51" s="157">
        <f t="shared" si="53"/>
        <v>0.66041666666666632</v>
      </c>
      <c r="AG51" s="289"/>
      <c r="AH51" s="73"/>
      <c r="AI51" s="77"/>
      <c r="AJ51" s="77"/>
      <c r="AK51" s="73"/>
      <c r="AL51" s="73"/>
      <c r="AM51" s="74"/>
      <c r="AN51" s="83"/>
      <c r="AO51" s="107"/>
      <c r="AP51" s="423" t="s">
        <v>85</v>
      </c>
      <c r="AQ51" s="423" t="s">
        <v>85</v>
      </c>
      <c r="AR51" s="6" t="e">
        <f t="shared" ca="1" si="0"/>
        <v>#VALUE!</v>
      </c>
      <c r="AS51" s="342" t="s">
        <v>81</v>
      </c>
      <c r="AU51" s="10"/>
      <c r="AV51" s="10"/>
      <c r="AW51" s="10"/>
      <c r="AX51" s="10"/>
      <c r="AY51" s="10"/>
      <c r="AZ51" s="10"/>
      <c r="BA51" s="10"/>
    </row>
    <row r="52" spans="1:53" customFormat="1" ht="24" customHeight="1" x14ac:dyDescent="0.35">
      <c r="A52" s="11"/>
      <c r="B52" s="91"/>
      <c r="C52" s="91"/>
      <c r="D52" s="303" t="s">
        <v>160</v>
      </c>
      <c r="E52" s="302">
        <v>0.8125</v>
      </c>
      <c r="F52" s="302">
        <v>0.84027777777777779</v>
      </c>
      <c r="G52" s="303" t="str">
        <f ca="1">N65</f>
        <v>C, Jaume</v>
      </c>
      <c r="H52" s="307"/>
      <c r="I52" s="298"/>
      <c r="J52" s="298"/>
      <c r="K52" s="307"/>
      <c r="L52" s="92"/>
      <c r="M52" s="102">
        <v>35</v>
      </c>
      <c r="N52" s="195" t="str">
        <f t="shared" ca="1" si="4"/>
        <v>Juanjo</v>
      </c>
      <c r="O52" s="220">
        <f>O48+2</f>
        <v>4727</v>
      </c>
      <c r="P52" s="214">
        <f>+P48+"0:40"</f>
        <v>0.64236111111111116</v>
      </c>
      <c r="Q52" s="149">
        <f t="shared" si="42"/>
        <v>0.6430555555555556</v>
      </c>
      <c r="R52" s="149">
        <f t="shared" si="43"/>
        <v>0.64444444444444449</v>
      </c>
      <c r="S52" s="149">
        <f t="shared" si="28"/>
        <v>0.64583333333333337</v>
      </c>
      <c r="T52" s="149">
        <f t="shared" si="29"/>
        <v>0.64652777777777781</v>
      </c>
      <c r="U52" s="150">
        <f t="shared" si="44"/>
        <v>0.64652777777777781</v>
      </c>
      <c r="V52" s="149">
        <f t="shared" si="45"/>
        <v>0.64722222222222225</v>
      </c>
      <c r="W52" s="149">
        <f t="shared" si="46"/>
        <v>0.6479166666666667</v>
      </c>
      <c r="X52" s="149">
        <f t="shared" si="47"/>
        <v>0.64930555555555558</v>
      </c>
      <c r="Y52" s="149">
        <f t="shared" si="34"/>
        <v>0.65138888888888891</v>
      </c>
      <c r="Z52" s="151">
        <f t="shared" si="48"/>
        <v>0.65277777777777779</v>
      </c>
      <c r="AA52" s="149">
        <f t="shared" si="36"/>
        <v>0.65486111111111112</v>
      </c>
      <c r="AB52" s="149">
        <f t="shared" si="49"/>
        <v>0.65833333333333333</v>
      </c>
      <c r="AC52" s="149">
        <f t="shared" si="50"/>
        <v>0.66041666666666665</v>
      </c>
      <c r="AD52" s="149">
        <f t="shared" si="51"/>
        <v>0.66249999999999998</v>
      </c>
      <c r="AE52" s="149">
        <f t="shared" si="52"/>
        <v>0.6645833333333333</v>
      </c>
      <c r="AF52" s="156">
        <f t="shared" si="53"/>
        <v>0.66736111111111107</v>
      </c>
      <c r="AG52" s="288">
        <f>SUM(AF52+"0:02")</f>
        <v>0.66874999999999996</v>
      </c>
      <c r="AH52" s="159">
        <f>SUM(AG52+"0:01")</f>
        <v>0.6694444444444444</v>
      </c>
      <c r="AI52" s="159">
        <f>SUM(AH52+"0:04")</f>
        <v>0.67222222222222217</v>
      </c>
      <c r="AJ52" s="159">
        <f>SUM(AI52+"0:01")</f>
        <v>0.67291666666666661</v>
      </c>
      <c r="AK52" s="159">
        <f>SUM(AJ52+"0:04")</f>
        <v>0.67569444444444438</v>
      </c>
      <c r="AL52" s="159">
        <f>SUM(AK52+"0:04")</f>
        <v>0.67847222222222214</v>
      </c>
      <c r="AM52" s="70">
        <f>SUM(AL52+"0:04")</f>
        <v>0.68124999999999991</v>
      </c>
      <c r="AN52" s="95"/>
      <c r="AO52" s="107"/>
      <c r="AP52" s="419">
        <v>16</v>
      </c>
      <c r="AQ52" s="419">
        <v>151</v>
      </c>
      <c r="AR52" s="6">
        <f t="shared" ca="1" si="0"/>
        <v>151</v>
      </c>
      <c r="AS52" s="343" t="s">
        <v>49</v>
      </c>
      <c r="AU52" s="10"/>
      <c r="AV52" s="10"/>
      <c r="AW52" s="10"/>
      <c r="AX52" s="10"/>
      <c r="AY52" s="10"/>
      <c r="AZ52" s="10"/>
      <c r="BA52" s="10"/>
    </row>
    <row r="53" spans="1:53" customFormat="1" ht="24" customHeight="1" x14ac:dyDescent="0.35">
      <c r="A53" s="11"/>
      <c r="B53" s="91"/>
      <c r="C53" s="91"/>
      <c r="D53" s="304" t="s">
        <v>161</v>
      </c>
      <c r="E53" s="302">
        <v>0.8125</v>
      </c>
      <c r="F53" s="302">
        <v>0.88194444444444442</v>
      </c>
      <c r="G53" s="303" t="e">
        <f ca="1">N66</f>
        <v>#N/A</v>
      </c>
      <c r="H53" s="307"/>
      <c r="I53" s="366" t="s">
        <v>162</v>
      </c>
      <c r="J53" s="367"/>
      <c r="K53" s="307"/>
      <c r="L53" s="92"/>
      <c r="M53" s="102">
        <v>36</v>
      </c>
      <c r="N53" s="195" t="str">
        <f t="shared" ca="1" si="4"/>
        <v>C, Jaume</v>
      </c>
      <c r="O53" s="221">
        <f>+O51+2</f>
        <v>4541</v>
      </c>
      <c r="P53" s="214">
        <f>+P51+"00:20"</f>
        <v>0.64930555555555525</v>
      </c>
      <c r="Q53" s="149">
        <f t="shared" si="42"/>
        <v>0.64999999999999969</v>
      </c>
      <c r="R53" s="149">
        <f t="shared" si="43"/>
        <v>0.65138888888888857</v>
      </c>
      <c r="S53" s="149">
        <f t="shared" si="28"/>
        <v>0.65277777777777746</v>
      </c>
      <c r="T53" s="149">
        <f t="shared" si="29"/>
        <v>0.6534722222222219</v>
      </c>
      <c r="U53" s="150">
        <f t="shared" si="44"/>
        <v>0.6534722222222219</v>
      </c>
      <c r="V53" s="149">
        <f t="shared" si="45"/>
        <v>0.65416666666666634</v>
      </c>
      <c r="W53" s="149">
        <f t="shared" si="46"/>
        <v>0.65486111111111078</v>
      </c>
      <c r="X53" s="149">
        <f t="shared" si="47"/>
        <v>0.65624999999999967</v>
      </c>
      <c r="Y53" s="149">
        <f t="shared" si="34"/>
        <v>0.65833333333333299</v>
      </c>
      <c r="Z53" s="151">
        <f t="shared" si="48"/>
        <v>0.65972222222222188</v>
      </c>
      <c r="AA53" s="149">
        <f t="shared" si="36"/>
        <v>0.6618055555555552</v>
      </c>
      <c r="AB53" s="149">
        <f t="shared" si="49"/>
        <v>0.66527777777777741</v>
      </c>
      <c r="AC53" s="149">
        <f t="shared" si="50"/>
        <v>0.66736111111111074</v>
      </c>
      <c r="AD53" s="149">
        <f t="shared" si="51"/>
        <v>0.66944444444444406</v>
      </c>
      <c r="AE53" s="149">
        <f t="shared" si="52"/>
        <v>0.67152777777777739</v>
      </c>
      <c r="AF53" s="157">
        <f t="shared" si="53"/>
        <v>0.67430555555555516</v>
      </c>
      <c r="AG53" s="289"/>
      <c r="AH53" s="73"/>
      <c r="AI53" s="77"/>
      <c r="AJ53" s="77"/>
      <c r="AK53" s="73"/>
      <c r="AL53" s="73"/>
      <c r="AM53" s="74"/>
      <c r="AN53" s="89"/>
      <c r="AO53" s="107"/>
      <c r="AP53" s="415" t="s">
        <v>198</v>
      </c>
      <c r="AQ53" s="415" t="s">
        <v>184</v>
      </c>
      <c r="AR53" s="6" t="e">
        <f t="shared" ca="1" si="0"/>
        <v>#VALUE!</v>
      </c>
      <c r="AS53" s="342" t="s">
        <v>50</v>
      </c>
      <c r="AU53" s="10"/>
      <c r="AV53" s="10"/>
      <c r="AW53" s="10"/>
      <c r="AX53" s="10"/>
      <c r="AY53" s="10"/>
      <c r="AZ53" s="10"/>
      <c r="BA53" s="10"/>
    </row>
    <row r="54" spans="1:53" customFormat="1" ht="24" customHeight="1" x14ac:dyDescent="0.35">
      <c r="A54" s="11"/>
      <c r="B54" s="91"/>
      <c r="C54" s="91"/>
      <c r="D54" s="309">
        <v>14</v>
      </c>
      <c r="E54" s="316">
        <v>0.8125</v>
      </c>
      <c r="F54" s="316">
        <v>0.90833333333333333</v>
      </c>
      <c r="G54" s="309" t="e">
        <f ca="1">N66</f>
        <v>#N/A</v>
      </c>
      <c r="H54" s="324" t="s">
        <v>141</v>
      </c>
      <c r="I54" s="368"/>
      <c r="J54" s="369"/>
      <c r="K54" s="307"/>
      <c r="L54" s="92"/>
      <c r="M54" s="102">
        <v>202</v>
      </c>
      <c r="N54" s="195" t="str">
        <f t="shared" ca="1" si="4"/>
        <v>Gomila</v>
      </c>
      <c r="O54" s="222">
        <f>O50+2</f>
        <v>4927</v>
      </c>
      <c r="P54" s="214">
        <f>+P50+"0:40"</f>
        <v>0.65625000000000011</v>
      </c>
      <c r="Q54" s="149">
        <f t="shared" si="42"/>
        <v>0.65694444444444455</v>
      </c>
      <c r="R54" s="149">
        <f t="shared" si="43"/>
        <v>0.65833333333333344</v>
      </c>
      <c r="S54" s="149">
        <f t="shared" si="28"/>
        <v>0.65972222222222232</v>
      </c>
      <c r="T54" s="149">
        <f t="shared" si="29"/>
        <v>0.66041666666666676</v>
      </c>
      <c r="U54" s="150">
        <f t="shared" si="44"/>
        <v>0.66041666666666676</v>
      </c>
      <c r="V54" s="149">
        <f t="shared" si="45"/>
        <v>0.6611111111111112</v>
      </c>
      <c r="W54" s="149">
        <f t="shared" si="46"/>
        <v>0.66180555555555565</v>
      </c>
      <c r="X54" s="149">
        <f t="shared" si="47"/>
        <v>0.66319444444444453</v>
      </c>
      <c r="Y54" s="149">
        <f t="shared" si="34"/>
        <v>0.66527777777777786</v>
      </c>
      <c r="Z54" s="151">
        <f t="shared" si="48"/>
        <v>0.66666666666666674</v>
      </c>
      <c r="AA54" s="149">
        <f t="shared" si="36"/>
        <v>0.66875000000000007</v>
      </c>
      <c r="AB54" s="149">
        <f t="shared" si="49"/>
        <v>0.67222222222222228</v>
      </c>
      <c r="AC54" s="149">
        <f t="shared" si="50"/>
        <v>0.6743055555555556</v>
      </c>
      <c r="AD54" s="149">
        <f t="shared" si="51"/>
        <v>0.67638888888888893</v>
      </c>
      <c r="AE54" s="149">
        <f t="shared" si="52"/>
        <v>0.67847222222222225</v>
      </c>
      <c r="AF54" s="156">
        <f t="shared" si="53"/>
        <v>0.68125000000000002</v>
      </c>
      <c r="AG54" s="290">
        <f>SUM(AF54+"0:02")</f>
        <v>0.68263888888888891</v>
      </c>
      <c r="AH54" s="149">
        <f>SUM(AG54+"0:01")</f>
        <v>0.68333333333333335</v>
      </c>
      <c r="AI54" s="149">
        <f>SUM(AH54+"0:04")</f>
        <v>0.68611111111111112</v>
      </c>
      <c r="AJ54" s="149">
        <f>SUM(AI54+"0:00")</f>
        <v>0.68611111111111112</v>
      </c>
      <c r="AK54" s="149">
        <f>SUM(AJ54+"0:08")</f>
        <v>0.69166666666666665</v>
      </c>
      <c r="AL54" s="149">
        <f>SUM(AK54+"0:04")</f>
        <v>0.69444444444444442</v>
      </c>
      <c r="AM54" s="76">
        <f>SUM(AL54+"0:08")</f>
        <v>0.7</v>
      </c>
      <c r="AN54" s="96">
        <f>SUM(AM54+"0:09")</f>
        <v>0.70624999999999993</v>
      </c>
      <c r="AO54" s="107"/>
      <c r="AP54" s="425" t="s">
        <v>199</v>
      </c>
      <c r="AQ54" s="425" t="s">
        <v>199</v>
      </c>
      <c r="AR54" s="6">
        <f t="shared" ca="1" si="0"/>
        <v>155</v>
      </c>
      <c r="AS54" s="345" t="s">
        <v>37</v>
      </c>
      <c r="AU54" s="10"/>
      <c r="AV54" s="10"/>
      <c r="AW54" s="10"/>
      <c r="AX54" s="10"/>
      <c r="AY54" s="10"/>
      <c r="AZ54" s="10"/>
      <c r="BA54" s="10"/>
    </row>
    <row r="55" spans="1:53" customFormat="1" ht="24" customHeight="1" x14ac:dyDescent="0.35">
      <c r="A55" s="11">
        <v>91</v>
      </c>
      <c r="B55" s="91"/>
      <c r="C55" s="91"/>
      <c r="D55" s="304" t="s">
        <v>164</v>
      </c>
      <c r="E55" s="301">
        <v>0.82291666666666663</v>
      </c>
      <c r="F55" s="296">
        <v>0.91666666666666663</v>
      </c>
      <c r="G55" s="303" t="str">
        <f ca="1">N62</f>
        <v>Yolanda Diaz</v>
      </c>
      <c r="H55" s="307"/>
      <c r="I55" s="370"/>
      <c r="J55" s="371"/>
      <c r="K55" s="307"/>
      <c r="L55" s="93"/>
      <c r="M55" s="102">
        <v>156</v>
      </c>
      <c r="N55" s="195" t="str">
        <f t="shared" ca="1" si="4"/>
        <v>Ruben</v>
      </c>
      <c r="O55" s="221">
        <f>+O53+2</f>
        <v>4543</v>
      </c>
      <c r="P55" s="214">
        <f>+P53+"00:20"</f>
        <v>0.66319444444444409</v>
      </c>
      <c r="Q55" s="149">
        <f t="shared" si="42"/>
        <v>0.66388888888888853</v>
      </c>
      <c r="R55" s="149">
        <f t="shared" si="43"/>
        <v>0.66527777777777741</v>
      </c>
      <c r="S55" s="149">
        <f t="shared" si="28"/>
        <v>0.6666666666666663</v>
      </c>
      <c r="T55" s="149">
        <f t="shared" si="29"/>
        <v>0.66736111111111074</v>
      </c>
      <c r="U55" s="150">
        <f t="shared" si="44"/>
        <v>0.66736111111111074</v>
      </c>
      <c r="V55" s="149">
        <f t="shared" si="45"/>
        <v>0.66805555555555518</v>
      </c>
      <c r="W55" s="149">
        <f t="shared" si="46"/>
        <v>0.66874999999999962</v>
      </c>
      <c r="X55" s="149">
        <f t="shared" si="47"/>
        <v>0.67013888888888851</v>
      </c>
      <c r="Y55" s="149">
        <f t="shared" si="34"/>
        <v>0.67222222222222183</v>
      </c>
      <c r="Z55" s="151">
        <f t="shared" si="48"/>
        <v>0.67361111111111072</v>
      </c>
      <c r="AA55" s="149">
        <f t="shared" si="36"/>
        <v>0.67569444444444404</v>
      </c>
      <c r="AB55" s="149">
        <f t="shared" si="49"/>
        <v>0.67916666666666625</v>
      </c>
      <c r="AC55" s="149">
        <f t="shared" si="50"/>
        <v>0.68124999999999958</v>
      </c>
      <c r="AD55" s="149">
        <f t="shared" si="51"/>
        <v>0.6833333333333329</v>
      </c>
      <c r="AE55" s="149">
        <f t="shared" si="52"/>
        <v>0.68541666666666623</v>
      </c>
      <c r="AF55" s="157">
        <f t="shared" si="53"/>
        <v>0.688194444444444</v>
      </c>
      <c r="AG55" s="289"/>
      <c r="AH55" s="73"/>
      <c r="AI55" s="77"/>
      <c r="AJ55" s="77"/>
      <c r="AK55" s="73"/>
      <c r="AL55" s="73"/>
      <c r="AM55" s="74"/>
      <c r="AN55" s="83"/>
      <c r="AO55" s="107"/>
      <c r="AP55" s="428">
        <v>12</v>
      </c>
      <c r="AQ55" s="428">
        <v>1</v>
      </c>
      <c r="AR55" s="6">
        <f t="shared" ca="1" si="0"/>
        <v>1</v>
      </c>
      <c r="AS55" s="343" t="s">
        <v>71</v>
      </c>
      <c r="AU55" s="10"/>
      <c r="AV55" s="10"/>
      <c r="AW55" s="10"/>
      <c r="AX55" s="10"/>
      <c r="AY55" s="10"/>
      <c r="AZ55" s="10"/>
      <c r="BA55" s="10"/>
    </row>
    <row r="56" spans="1:53" customFormat="1" ht="24" customHeight="1" x14ac:dyDescent="0.35">
      <c r="A56" s="11"/>
      <c r="B56" s="91"/>
      <c r="C56" s="91"/>
      <c r="D56" s="304" t="s">
        <v>163</v>
      </c>
      <c r="E56" s="301">
        <v>0.82638888888888884</v>
      </c>
      <c r="F56" s="296">
        <v>0.90972222222222221</v>
      </c>
      <c r="G56" s="303" t="str">
        <f ca="1">N63</f>
        <v xml:space="preserve">Campos </v>
      </c>
      <c r="H56" s="307"/>
      <c r="I56" s="307"/>
      <c r="J56" s="322"/>
      <c r="K56" s="298"/>
      <c r="L56" s="93"/>
      <c r="M56" s="102">
        <v>13</v>
      </c>
      <c r="N56" s="195" t="str">
        <f t="shared" ca="1" si="4"/>
        <v>Florit</v>
      </c>
      <c r="O56" s="220">
        <f>O52+2</f>
        <v>4729</v>
      </c>
      <c r="P56" s="214">
        <f>+P52+"0:40"</f>
        <v>0.67013888888888895</v>
      </c>
      <c r="Q56" s="149">
        <f t="shared" si="42"/>
        <v>0.67083333333333339</v>
      </c>
      <c r="R56" s="149">
        <f t="shared" si="43"/>
        <v>0.67222222222222228</v>
      </c>
      <c r="S56" s="149">
        <f t="shared" si="28"/>
        <v>0.67361111111111116</v>
      </c>
      <c r="T56" s="149">
        <f t="shared" si="29"/>
        <v>0.6743055555555556</v>
      </c>
      <c r="U56" s="150">
        <f t="shared" si="44"/>
        <v>0.6743055555555556</v>
      </c>
      <c r="V56" s="149">
        <f t="shared" si="45"/>
        <v>0.67500000000000004</v>
      </c>
      <c r="W56" s="149">
        <f t="shared" si="46"/>
        <v>0.67569444444444449</v>
      </c>
      <c r="X56" s="149">
        <f t="shared" si="47"/>
        <v>0.67708333333333337</v>
      </c>
      <c r="Y56" s="149">
        <f t="shared" si="34"/>
        <v>0.6791666666666667</v>
      </c>
      <c r="Z56" s="151">
        <f t="shared" si="48"/>
        <v>0.68055555555555558</v>
      </c>
      <c r="AA56" s="149">
        <f t="shared" si="36"/>
        <v>0.68263888888888891</v>
      </c>
      <c r="AB56" s="149">
        <f t="shared" si="49"/>
        <v>0.68611111111111112</v>
      </c>
      <c r="AC56" s="149">
        <f t="shared" si="50"/>
        <v>0.68819444444444444</v>
      </c>
      <c r="AD56" s="149">
        <f t="shared" si="51"/>
        <v>0.69027777777777777</v>
      </c>
      <c r="AE56" s="149">
        <f t="shared" si="52"/>
        <v>0.69236111111111109</v>
      </c>
      <c r="AF56" s="156">
        <f t="shared" si="53"/>
        <v>0.69513888888888886</v>
      </c>
      <c r="AG56" s="288">
        <f>SUM(AF56+"0:02")</f>
        <v>0.69652777777777775</v>
      </c>
      <c r="AH56" s="159">
        <f>SUM(AG56+"0:01")</f>
        <v>0.69722222222222219</v>
      </c>
      <c r="AI56" s="159">
        <f>SUM(AH56+"0:04")</f>
        <v>0.7</v>
      </c>
      <c r="AJ56" s="159">
        <f>SUM(AI56+"0:01")</f>
        <v>0.7006944444444444</v>
      </c>
      <c r="AK56" s="159">
        <f>SUM(AJ56+"0:04")</f>
        <v>0.70347222222222217</v>
      </c>
      <c r="AL56" s="159">
        <f>SUM(AK56+"0:04")</f>
        <v>0.70624999999999993</v>
      </c>
      <c r="AM56" s="70">
        <f>SUM(AL56+"0:04")</f>
        <v>0.7090277777777777</v>
      </c>
      <c r="AN56" s="95"/>
      <c r="AO56" s="107"/>
      <c r="AP56" s="415">
        <v>15</v>
      </c>
      <c r="AQ56" s="415">
        <v>15</v>
      </c>
      <c r="AR56" s="6">
        <f t="shared" ca="1" si="0"/>
        <v>15</v>
      </c>
      <c r="AS56" s="342" t="s">
        <v>72</v>
      </c>
      <c r="AU56" s="10"/>
      <c r="AV56" s="10"/>
      <c r="AW56" s="10"/>
      <c r="AX56" s="10"/>
      <c r="AY56" s="10"/>
      <c r="AZ56" s="10"/>
      <c r="BA56" s="10"/>
    </row>
    <row r="57" spans="1:53" customFormat="1" ht="24" customHeight="1" x14ac:dyDescent="0.35">
      <c r="A57" s="11"/>
      <c r="B57" s="91"/>
      <c r="C57" s="91"/>
      <c r="D57" s="303" t="s">
        <v>166</v>
      </c>
      <c r="E57" s="301">
        <v>0.83680555555555558</v>
      </c>
      <c r="F57" s="302">
        <v>0.86805555555555558</v>
      </c>
      <c r="G57" s="303" t="str">
        <f ca="1">N48</f>
        <v>Koala</v>
      </c>
      <c r="H57" s="298"/>
      <c r="I57" s="298"/>
      <c r="J57" s="298"/>
      <c r="K57" s="298"/>
      <c r="L57" s="93"/>
      <c r="M57" s="102">
        <v>102</v>
      </c>
      <c r="N57" s="195" t="str">
        <f t="shared" ca="1" si="4"/>
        <v>Miguel Bosch</v>
      </c>
      <c r="O57" s="221">
        <f>+O55+2</f>
        <v>4545</v>
      </c>
      <c r="P57" s="214">
        <f>+P55+"00:20"</f>
        <v>0.67708333333333293</v>
      </c>
      <c r="Q57" s="149">
        <f t="shared" si="42"/>
        <v>0.67777777777777737</v>
      </c>
      <c r="R57" s="149">
        <f t="shared" si="43"/>
        <v>0.67916666666666625</v>
      </c>
      <c r="S57" s="149">
        <f t="shared" si="28"/>
        <v>0.68055555555555514</v>
      </c>
      <c r="T57" s="149">
        <f t="shared" si="29"/>
        <v>0.68124999999999958</v>
      </c>
      <c r="U57" s="150">
        <f t="shared" si="44"/>
        <v>0.68124999999999958</v>
      </c>
      <c r="V57" s="149">
        <f t="shared" si="45"/>
        <v>0.68194444444444402</v>
      </c>
      <c r="W57" s="149">
        <f t="shared" si="46"/>
        <v>0.68263888888888846</v>
      </c>
      <c r="X57" s="149">
        <f t="shared" si="47"/>
        <v>0.68402777777777735</v>
      </c>
      <c r="Y57" s="149">
        <f t="shared" si="34"/>
        <v>0.68611111111111067</v>
      </c>
      <c r="Z57" s="151">
        <f t="shared" si="48"/>
        <v>0.68749999999999956</v>
      </c>
      <c r="AA57" s="149">
        <f t="shared" si="36"/>
        <v>0.68958333333333288</v>
      </c>
      <c r="AB57" s="149">
        <f t="shared" si="49"/>
        <v>0.69305555555555509</v>
      </c>
      <c r="AC57" s="149">
        <f t="shared" si="50"/>
        <v>0.69513888888888842</v>
      </c>
      <c r="AD57" s="149">
        <f t="shared" si="51"/>
        <v>0.69722222222222174</v>
      </c>
      <c r="AE57" s="149">
        <f t="shared" si="52"/>
        <v>0.69930555555555507</v>
      </c>
      <c r="AF57" s="157">
        <f t="shared" si="53"/>
        <v>0.70208333333333284</v>
      </c>
      <c r="AG57" s="289"/>
      <c r="AH57" s="73"/>
      <c r="AI57" s="77"/>
      <c r="AJ57" s="77"/>
      <c r="AK57" s="73"/>
      <c r="AL57" s="73"/>
      <c r="AM57" s="74"/>
      <c r="AN57" s="89"/>
      <c r="AO57" s="107"/>
      <c r="AP57" s="428">
        <v>1</v>
      </c>
      <c r="AQ57" s="428">
        <v>12</v>
      </c>
      <c r="AR57" s="6">
        <f t="shared" ca="1" si="0"/>
        <v>12</v>
      </c>
      <c r="AS57" s="346" t="s">
        <v>38</v>
      </c>
      <c r="AU57" s="10"/>
      <c r="AV57" s="10"/>
      <c r="AW57" s="10"/>
      <c r="AX57" s="10"/>
      <c r="AY57" s="10"/>
      <c r="AZ57" s="10"/>
      <c r="BA57" s="10"/>
    </row>
    <row r="58" spans="1:53" customFormat="1" ht="24" customHeight="1" x14ac:dyDescent="0.35">
      <c r="A58" s="11"/>
      <c r="B58" s="91"/>
      <c r="C58" s="91"/>
      <c r="D58" s="304" t="s">
        <v>167</v>
      </c>
      <c r="E58" s="301">
        <v>0.84027777777777779</v>
      </c>
      <c r="F58" s="302">
        <v>0.88541666666666663</v>
      </c>
      <c r="G58" s="303" t="str">
        <f ca="1">N55</f>
        <v>Ruben</v>
      </c>
      <c r="H58" s="298"/>
      <c r="I58" s="298"/>
      <c r="J58" s="298"/>
      <c r="K58" s="298"/>
      <c r="L58" s="93"/>
      <c r="M58" s="102">
        <v>157</v>
      </c>
      <c r="N58" s="195" t="str">
        <f t="shared" ca="1" si="4"/>
        <v xml:space="preserve">T. Martinez </v>
      </c>
      <c r="O58" s="222">
        <f>O54+2</f>
        <v>4929</v>
      </c>
      <c r="P58" s="214">
        <f>+P54+"0:40"</f>
        <v>0.6840277777777779</v>
      </c>
      <c r="Q58" s="149">
        <f t="shared" si="42"/>
        <v>0.68472222222222234</v>
      </c>
      <c r="R58" s="149">
        <f t="shared" si="43"/>
        <v>0.68611111111111123</v>
      </c>
      <c r="S58" s="149">
        <f t="shared" si="28"/>
        <v>0.68750000000000011</v>
      </c>
      <c r="T58" s="149">
        <f t="shared" si="29"/>
        <v>0.68819444444444455</v>
      </c>
      <c r="U58" s="150">
        <f t="shared" si="44"/>
        <v>0.68819444444444455</v>
      </c>
      <c r="V58" s="149">
        <f t="shared" si="45"/>
        <v>0.68888888888888899</v>
      </c>
      <c r="W58" s="149">
        <f t="shared" si="46"/>
        <v>0.68958333333333344</v>
      </c>
      <c r="X58" s="149">
        <f t="shared" si="47"/>
        <v>0.69097222222222232</v>
      </c>
      <c r="Y58" s="149">
        <f t="shared" si="34"/>
        <v>0.69305555555555565</v>
      </c>
      <c r="Z58" s="151">
        <f t="shared" si="48"/>
        <v>0.69444444444444453</v>
      </c>
      <c r="AA58" s="149">
        <f t="shared" si="36"/>
        <v>0.69652777777777786</v>
      </c>
      <c r="AB58" s="149">
        <f t="shared" si="49"/>
        <v>0.70000000000000007</v>
      </c>
      <c r="AC58" s="149">
        <f t="shared" si="50"/>
        <v>0.70208333333333339</v>
      </c>
      <c r="AD58" s="149">
        <f t="shared" si="51"/>
        <v>0.70416666666666672</v>
      </c>
      <c r="AE58" s="149">
        <f t="shared" si="52"/>
        <v>0.70625000000000004</v>
      </c>
      <c r="AF58" s="156">
        <f t="shared" si="53"/>
        <v>0.70902777777777781</v>
      </c>
      <c r="AG58" s="290">
        <f>SUM(AF58+"0:02")</f>
        <v>0.7104166666666667</v>
      </c>
      <c r="AH58" s="149">
        <f>SUM(AG58+"0:01")</f>
        <v>0.71111111111111114</v>
      </c>
      <c r="AI58" s="149">
        <f>SUM(AH58+"0:04")</f>
        <v>0.71388888888888891</v>
      </c>
      <c r="AJ58" s="149">
        <f>SUM(AI58+"0:00")</f>
        <v>0.71388888888888891</v>
      </c>
      <c r="AK58" s="149">
        <f>SUM(AJ58+"0:08")</f>
        <v>0.71944444444444444</v>
      </c>
      <c r="AL58" s="149">
        <f>SUM(AK58+"0:04")</f>
        <v>0.72222222222222221</v>
      </c>
      <c r="AM58" s="76">
        <f>SUM(AL58+"0:08")</f>
        <v>0.72777777777777775</v>
      </c>
      <c r="AN58" s="96">
        <f>SUM(AM58+"0:09")</f>
        <v>0.73402777777777772</v>
      </c>
      <c r="AO58" s="107"/>
      <c r="AP58" s="415" t="s">
        <v>200</v>
      </c>
      <c r="AQ58" s="415" t="s">
        <v>184</v>
      </c>
      <c r="AR58" s="6" t="e">
        <f t="shared" ca="1" si="0"/>
        <v>#VALUE!</v>
      </c>
      <c r="AS58" s="346" t="s">
        <v>110</v>
      </c>
      <c r="AU58" s="10"/>
      <c r="AV58" s="10"/>
      <c r="AW58" s="10"/>
      <c r="AX58" s="10"/>
      <c r="AY58" s="10"/>
      <c r="AZ58" s="10"/>
      <c r="BA58" s="10"/>
    </row>
    <row r="59" spans="1:53" customFormat="1" ht="24" customHeight="1" x14ac:dyDescent="0.35">
      <c r="A59" s="11"/>
      <c r="B59" s="91"/>
      <c r="C59" s="91"/>
      <c r="D59" s="304" t="s">
        <v>170</v>
      </c>
      <c r="E59" s="301">
        <v>0.85416666666666663</v>
      </c>
      <c r="F59" s="296">
        <v>0.89583333333333337</v>
      </c>
      <c r="G59" s="303" t="str">
        <f ca="1">N54</f>
        <v>Gomila</v>
      </c>
      <c r="H59" s="298"/>
      <c r="I59" s="298"/>
      <c r="J59" s="298"/>
      <c r="K59" s="298"/>
      <c r="L59" s="93"/>
      <c r="M59" s="102">
        <v>12</v>
      </c>
      <c r="N59" s="195" t="str">
        <f t="shared" ca="1" si="4"/>
        <v>Iniesta</v>
      </c>
      <c r="O59" s="221">
        <f>+O57+2</f>
        <v>4547</v>
      </c>
      <c r="P59" s="214">
        <f>+P57+"00:20"</f>
        <v>0.69097222222222177</v>
      </c>
      <c r="Q59" s="149">
        <f t="shared" si="42"/>
        <v>0.69166666666666621</v>
      </c>
      <c r="R59" s="149">
        <f t="shared" si="43"/>
        <v>0.69305555555555509</v>
      </c>
      <c r="S59" s="149">
        <f t="shared" si="28"/>
        <v>0.69444444444444398</v>
      </c>
      <c r="T59" s="149">
        <f t="shared" si="29"/>
        <v>0.69513888888888842</v>
      </c>
      <c r="U59" s="150">
        <f t="shared" si="44"/>
        <v>0.69513888888888842</v>
      </c>
      <c r="V59" s="149">
        <f t="shared" si="45"/>
        <v>0.69583333333333286</v>
      </c>
      <c r="W59" s="149">
        <f t="shared" si="46"/>
        <v>0.6965277777777773</v>
      </c>
      <c r="X59" s="149">
        <f t="shared" si="47"/>
        <v>0.69791666666666619</v>
      </c>
      <c r="Y59" s="149">
        <f t="shared" si="34"/>
        <v>0.69999999999999951</v>
      </c>
      <c r="Z59" s="151">
        <f t="shared" si="48"/>
        <v>0.7013888888888884</v>
      </c>
      <c r="AA59" s="149">
        <f t="shared" si="36"/>
        <v>0.70347222222222172</v>
      </c>
      <c r="AB59" s="149">
        <f t="shared" si="49"/>
        <v>0.70694444444444393</v>
      </c>
      <c r="AC59" s="149">
        <f t="shared" si="50"/>
        <v>0.70902777777777726</v>
      </c>
      <c r="AD59" s="149">
        <f t="shared" si="51"/>
        <v>0.71111111111111058</v>
      </c>
      <c r="AE59" s="149">
        <f t="shared" si="52"/>
        <v>0.71319444444444391</v>
      </c>
      <c r="AF59" s="156">
        <f t="shared" si="53"/>
        <v>0.71597222222222168</v>
      </c>
      <c r="AG59" s="289"/>
      <c r="AH59" s="72"/>
      <c r="AI59" s="77"/>
      <c r="AJ59" s="77"/>
      <c r="AK59" s="73"/>
      <c r="AL59" s="73"/>
      <c r="AM59" s="74"/>
      <c r="AN59" s="83"/>
      <c r="AO59" s="107"/>
      <c r="AP59" s="415">
        <v>152</v>
      </c>
      <c r="AQ59" s="415">
        <v>152</v>
      </c>
      <c r="AR59" s="6">
        <f t="shared" ca="1" si="0"/>
        <v>152</v>
      </c>
      <c r="AS59" s="346" t="s">
        <v>64</v>
      </c>
      <c r="AT59" s="10"/>
      <c r="AU59" s="10"/>
      <c r="AV59" s="10"/>
      <c r="AW59" s="10"/>
    </row>
    <row r="60" spans="1:53" customFormat="1" ht="24" customHeight="1" x14ac:dyDescent="0.35">
      <c r="A60" s="11"/>
      <c r="B60" s="91"/>
      <c r="C60" s="91"/>
      <c r="D60" s="304" t="s">
        <v>169</v>
      </c>
      <c r="E60" s="301">
        <v>0.86458333333333337</v>
      </c>
      <c r="F60" s="296">
        <v>0.91666666666666663</v>
      </c>
      <c r="G60" s="303" t="str">
        <f ca="1">N67</f>
        <v>Jaime Sastre</v>
      </c>
      <c r="H60" s="298"/>
      <c r="I60" s="298"/>
      <c r="J60" s="298"/>
      <c r="K60" s="298"/>
      <c r="L60" s="92"/>
      <c r="M60" s="102">
        <v>15</v>
      </c>
      <c r="N60" s="195" t="str">
        <f t="shared" ca="1" si="4"/>
        <v>Tomeu Moya</v>
      </c>
      <c r="O60" s="220">
        <f>O56+2</f>
        <v>4731</v>
      </c>
      <c r="P60" s="214">
        <f>+P56+"0:40"</f>
        <v>0.69791666666666674</v>
      </c>
      <c r="Q60" s="149">
        <f t="shared" si="42"/>
        <v>0.69861111111111118</v>
      </c>
      <c r="R60" s="149">
        <f t="shared" si="43"/>
        <v>0.70000000000000007</v>
      </c>
      <c r="S60" s="149">
        <f t="shared" si="28"/>
        <v>0.70138888888888895</v>
      </c>
      <c r="T60" s="149">
        <f t="shared" si="29"/>
        <v>0.70208333333333339</v>
      </c>
      <c r="U60" s="150">
        <f t="shared" si="44"/>
        <v>0.70208333333333339</v>
      </c>
      <c r="V60" s="149">
        <f t="shared" si="45"/>
        <v>0.70277777777777783</v>
      </c>
      <c r="W60" s="149">
        <f t="shared" si="46"/>
        <v>0.70347222222222228</v>
      </c>
      <c r="X60" s="149">
        <f t="shared" si="47"/>
        <v>0.70486111111111116</v>
      </c>
      <c r="Y60" s="149">
        <f t="shared" si="34"/>
        <v>0.70694444444444449</v>
      </c>
      <c r="Z60" s="151">
        <f t="shared" si="48"/>
        <v>0.70833333333333337</v>
      </c>
      <c r="AA60" s="149">
        <f t="shared" si="36"/>
        <v>0.7104166666666667</v>
      </c>
      <c r="AB60" s="149">
        <f t="shared" si="49"/>
        <v>0.71388888888888891</v>
      </c>
      <c r="AC60" s="149">
        <f t="shared" si="50"/>
        <v>0.71597222222222223</v>
      </c>
      <c r="AD60" s="149">
        <f t="shared" si="51"/>
        <v>0.71805555555555556</v>
      </c>
      <c r="AE60" s="149">
        <f t="shared" si="52"/>
        <v>0.72013888888888888</v>
      </c>
      <c r="AF60" s="156">
        <f t="shared" si="53"/>
        <v>0.72291666666666665</v>
      </c>
      <c r="AG60" s="288">
        <f>SUM(AF60+"0:02")</f>
        <v>0.72430555555555554</v>
      </c>
      <c r="AH60" s="159">
        <f>SUM(AG60+"0:01")</f>
        <v>0.72499999999999998</v>
      </c>
      <c r="AI60" s="159">
        <f>SUM(AH60+"0:04")</f>
        <v>0.72777777777777775</v>
      </c>
      <c r="AJ60" s="159">
        <f>SUM(AI60+"0:01")</f>
        <v>0.72847222222222219</v>
      </c>
      <c r="AK60" s="159">
        <f>SUM(AJ60+"0:04")</f>
        <v>0.73124999999999996</v>
      </c>
      <c r="AL60" s="159">
        <f>SUM(AK60+"0:04")</f>
        <v>0.73402777777777772</v>
      </c>
      <c r="AM60" s="70">
        <f>SUM(AL60+"0:04")</f>
        <v>0.73680555555555549</v>
      </c>
      <c r="AN60" s="95"/>
      <c r="AO60" s="107"/>
      <c r="AP60" s="415" t="s">
        <v>201</v>
      </c>
      <c r="AQ60" s="415">
        <v>34</v>
      </c>
      <c r="AR60" s="6">
        <f t="shared" ca="1" si="0"/>
        <v>34</v>
      </c>
      <c r="AS60" s="347" t="s">
        <v>39</v>
      </c>
      <c r="AU60" s="10"/>
      <c r="AV60" s="10"/>
      <c r="AW60" s="10"/>
      <c r="AX60" s="10"/>
      <c r="AY60" s="10"/>
      <c r="AZ60" s="10"/>
      <c r="BA60" s="10"/>
    </row>
    <row r="61" spans="1:53" customFormat="1" ht="24" customHeight="1" x14ac:dyDescent="0.35">
      <c r="A61" s="11"/>
      <c r="B61" s="91"/>
      <c r="C61" s="91"/>
      <c r="D61" s="325" t="s">
        <v>171</v>
      </c>
      <c r="E61" s="301">
        <v>0.86805555555555558</v>
      </c>
      <c r="F61" s="296">
        <v>0.89583333333333337</v>
      </c>
      <c r="G61" s="303" t="str">
        <f ca="1">N58</f>
        <v xml:space="preserve">T. Martinez </v>
      </c>
      <c r="H61" s="298"/>
      <c r="I61" s="298"/>
      <c r="J61" s="298"/>
      <c r="K61" s="298"/>
      <c r="L61" s="92"/>
      <c r="M61" s="102">
        <v>17</v>
      </c>
      <c r="N61" s="195" t="str">
        <f t="shared" ca="1" si="4"/>
        <v xml:space="preserve">Lucio </v>
      </c>
      <c r="O61" s="221">
        <f>+O59+2</f>
        <v>4549</v>
      </c>
      <c r="P61" s="214">
        <f>+P59+"00:20"</f>
        <v>0.70486111111111061</v>
      </c>
      <c r="Q61" s="149">
        <f t="shared" si="42"/>
        <v>0.70555555555555505</v>
      </c>
      <c r="R61" s="149">
        <f t="shared" si="43"/>
        <v>0.70694444444444393</v>
      </c>
      <c r="S61" s="149">
        <f t="shared" si="28"/>
        <v>0.70833333333333282</v>
      </c>
      <c r="T61" s="149">
        <f t="shared" si="29"/>
        <v>0.70902777777777726</v>
      </c>
      <c r="U61" s="150">
        <f t="shared" si="44"/>
        <v>0.70902777777777726</v>
      </c>
      <c r="V61" s="149">
        <f t="shared" si="45"/>
        <v>0.7097222222222217</v>
      </c>
      <c r="W61" s="149">
        <f t="shared" si="46"/>
        <v>0.71041666666666614</v>
      </c>
      <c r="X61" s="149">
        <f t="shared" si="47"/>
        <v>0.71180555555555503</v>
      </c>
      <c r="Y61" s="149">
        <f t="shared" si="34"/>
        <v>0.71388888888888835</v>
      </c>
      <c r="Z61" s="151">
        <f t="shared" si="48"/>
        <v>0.71527777777777724</v>
      </c>
      <c r="AA61" s="149">
        <f t="shared" si="36"/>
        <v>0.71736111111111056</v>
      </c>
      <c r="AB61" s="149">
        <f t="shared" si="49"/>
        <v>0.72083333333333277</v>
      </c>
      <c r="AC61" s="149">
        <f t="shared" si="50"/>
        <v>0.7229166666666661</v>
      </c>
      <c r="AD61" s="149">
        <f t="shared" si="51"/>
        <v>0.72499999999999942</v>
      </c>
      <c r="AE61" s="149">
        <f t="shared" si="52"/>
        <v>0.72708333333333275</v>
      </c>
      <c r="AF61" s="157">
        <f t="shared" si="53"/>
        <v>0.72986111111111052</v>
      </c>
      <c r="AG61" s="289"/>
      <c r="AH61" s="73"/>
      <c r="AI61" s="77"/>
      <c r="AJ61" s="77"/>
      <c r="AK61" s="73"/>
      <c r="AL61" s="73"/>
      <c r="AM61" s="74"/>
      <c r="AN61" s="89"/>
      <c r="AO61" s="107"/>
      <c r="AP61" s="415">
        <v>35</v>
      </c>
      <c r="AQ61" s="415">
        <v>35</v>
      </c>
      <c r="AR61" s="6">
        <f t="shared" ca="1" si="0"/>
        <v>35</v>
      </c>
      <c r="AS61" s="347" t="s">
        <v>67</v>
      </c>
      <c r="AU61" s="10"/>
      <c r="AV61" s="10"/>
      <c r="AW61" s="10"/>
      <c r="AX61" s="10"/>
      <c r="AY61" s="10"/>
      <c r="AZ61" s="10"/>
      <c r="BA61" s="10"/>
    </row>
    <row r="62" spans="1:53" customFormat="1" ht="24" customHeight="1" x14ac:dyDescent="0.35">
      <c r="A62" s="11"/>
      <c r="B62" s="91"/>
      <c r="C62" s="91"/>
      <c r="D62" s="304" t="s">
        <v>174</v>
      </c>
      <c r="E62" s="301">
        <v>0.88194444444444442</v>
      </c>
      <c r="F62" s="296">
        <v>0.92708333333333337</v>
      </c>
      <c r="G62" s="303" t="str">
        <f ca="1">N57</f>
        <v>Miguel Bosch</v>
      </c>
      <c r="H62" s="298"/>
      <c r="I62" s="298"/>
      <c r="J62" s="298"/>
      <c r="K62" s="298"/>
      <c r="L62" s="92"/>
      <c r="M62" s="102">
        <v>11</v>
      </c>
      <c r="N62" s="195" t="str">
        <f t="shared" ca="1" si="4"/>
        <v>Yolanda Diaz</v>
      </c>
      <c r="O62" s="222">
        <f>O58+2</f>
        <v>4931</v>
      </c>
      <c r="P62" s="214">
        <f>+P58+"0:40"</f>
        <v>0.71180555555555569</v>
      </c>
      <c r="Q62" s="149">
        <f t="shared" si="42"/>
        <v>0.71250000000000013</v>
      </c>
      <c r="R62" s="149">
        <f t="shared" si="43"/>
        <v>0.71388888888888902</v>
      </c>
      <c r="S62" s="149">
        <f t="shared" si="28"/>
        <v>0.7152777777777779</v>
      </c>
      <c r="T62" s="149">
        <f t="shared" si="29"/>
        <v>0.71597222222222234</v>
      </c>
      <c r="U62" s="150">
        <f t="shared" si="44"/>
        <v>0.71597222222222234</v>
      </c>
      <c r="V62" s="149">
        <f t="shared" si="45"/>
        <v>0.71666666666666679</v>
      </c>
      <c r="W62" s="149">
        <f t="shared" si="46"/>
        <v>0.71736111111111123</v>
      </c>
      <c r="X62" s="149">
        <f t="shared" si="47"/>
        <v>0.71875000000000011</v>
      </c>
      <c r="Y62" s="149">
        <f t="shared" si="34"/>
        <v>0.72083333333333344</v>
      </c>
      <c r="Z62" s="151">
        <f t="shared" si="48"/>
        <v>0.72222222222222232</v>
      </c>
      <c r="AA62" s="149">
        <f t="shared" si="36"/>
        <v>0.72430555555555565</v>
      </c>
      <c r="AB62" s="149">
        <f t="shared" si="49"/>
        <v>0.72777777777777786</v>
      </c>
      <c r="AC62" s="149">
        <f t="shared" si="50"/>
        <v>0.72986111111111118</v>
      </c>
      <c r="AD62" s="149">
        <f t="shared" si="51"/>
        <v>0.73194444444444451</v>
      </c>
      <c r="AE62" s="149">
        <f t="shared" si="52"/>
        <v>0.73402777777777783</v>
      </c>
      <c r="AF62" s="156">
        <f t="shared" si="53"/>
        <v>0.7368055555555556</v>
      </c>
      <c r="AG62" s="290">
        <f>SUM(AF62+"0:02")</f>
        <v>0.73819444444444449</v>
      </c>
      <c r="AH62" s="149">
        <f>SUM(AG62+"0:01")</f>
        <v>0.73888888888888893</v>
      </c>
      <c r="AI62" s="149">
        <f>SUM(AH62+"0:04")</f>
        <v>0.7416666666666667</v>
      </c>
      <c r="AJ62" s="149">
        <f>SUM(AI62+"0:00")</f>
        <v>0.7416666666666667</v>
      </c>
      <c r="AK62" s="149">
        <f>SUM(AJ62+"0:08")</f>
        <v>0.74722222222222223</v>
      </c>
      <c r="AL62" s="149">
        <f>SUM(AK62+"0:04")</f>
        <v>0.75</v>
      </c>
      <c r="AM62" s="76">
        <f>SUM(AL62+"0:08")</f>
        <v>0.75555555555555554</v>
      </c>
      <c r="AN62" s="96">
        <f>SUM(AM62+"0:09")</f>
        <v>0.76180555555555551</v>
      </c>
      <c r="AO62" s="107"/>
      <c r="AP62" s="421">
        <v>4</v>
      </c>
      <c r="AQ62" s="421">
        <v>156</v>
      </c>
      <c r="AR62" s="6">
        <f t="shared" ca="1" si="0"/>
        <v>156</v>
      </c>
      <c r="AS62" s="347" t="s">
        <v>65</v>
      </c>
      <c r="AU62" s="10"/>
      <c r="AV62" s="10"/>
      <c r="AW62" s="10"/>
      <c r="AX62" s="10"/>
      <c r="AY62" s="10"/>
      <c r="AZ62" s="10"/>
      <c r="BA62" s="10"/>
    </row>
    <row r="63" spans="1:53" customFormat="1" ht="24" customHeight="1" x14ac:dyDescent="0.35">
      <c r="A63" s="11"/>
      <c r="B63" s="91"/>
      <c r="C63" s="91"/>
      <c r="D63" s="304" t="s">
        <v>168</v>
      </c>
      <c r="E63" s="301">
        <v>0.89236111111111116</v>
      </c>
      <c r="F63" s="296">
        <v>0.93402777777777779</v>
      </c>
      <c r="G63" s="303" t="str">
        <f ca="1">N72</f>
        <v>Miki</v>
      </c>
      <c r="H63" s="298"/>
      <c r="I63" s="298"/>
      <c r="J63" s="298"/>
      <c r="K63" s="298"/>
      <c r="L63" s="92"/>
      <c r="M63" s="102">
        <v>19</v>
      </c>
      <c r="N63" s="195" t="str">
        <f t="shared" ca="1" si="4"/>
        <v xml:space="preserve">Campos </v>
      </c>
      <c r="O63" s="221">
        <f>+O61+2</f>
        <v>4551</v>
      </c>
      <c r="P63" s="214">
        <f>+P61+"00:20"</f>
        <v>0.71874999999999944</v>
      </c>
      <c r="Q63" s="149">
        <f t="shared" si="42"/>
        <v>0.71944444444444389</v>
      </c>
      <c r="R63" s="149">
        <f t="shared" si="43"/>
        <v>0.72083333333333277</v>
      </c>
      <c r="S63" s="149">
        <f t="shared" si="28"/>
        <v>0.72222222222222165</v>
      </c>
      <c r="T63" s="149">
        <f t="shared" si="29"/>
        <v>0.7229166666666661</v>
      </c>
      <c r="U63" s="150">
        <f t="shared" si="44"/>
        <v>0.7229166666666661</v>
      </c>
      <c r="V63" s="149">
        <f t="shared" si="45"/>
        <v>0.72361111111111054</v>
      </c>
      <c r="W63" s="149">
        <f t="shared" si="46"/>
        <v>0.72430555555555498</v>
      </c>
      <c r="X63" s="149">
        <f t="shared" si="47"/>
        <v>0.72569444444444386</v>
      </c>
      <c r="Y63" s="149">
        <f t="shared" si="34"/>
        <v>0.72777777777777719</v>
      </c>
      <c r="Z63" s="151">
        <f t="shared" si="48"/>
        <v>0.72916666666666607</v>
      </c>
      <c r="AA63" s="149">
        <f t="shared" si="36"/>
        <v>0.7312499999999994</v>
      </c>
      <c r="AB63" s="149">
        <f t="shared" si="49"/>
        <v>0.73472222222222161</v>
      </c>
      <c r="AC63" s="149">
        <f t="shared" si="50"/>
        <v>0.73680555555555494</v>
      </c>
      <c r="AD63" s="149">
        <f t="shared" si="51"/>
        <v>0.73888888888888826</v>
      </c>
      <c r="AE63" s="149">
        <f t="shared" si="52"/>
        <v>0.74097222222222159</v>
      </c>
      <c r="AF63" s="157">
        <f t="shared" si="53"/>
        <v>0.74374999999999936</v>
      </c>
      <c r="AG63" s="289"/>
      <c r="AH63" s="73"/>
      <c r="AI63" s="77"/>
      <c r="AJ63" s="77"/>
      <c r="AK63" s="73"/>
      <c r="AL63" s="73"/>
      <c r="AM63" s="74"/>
      <c r="AN63" s="83"/>
      <c r="AO63" s="107"/>
      <c r="AP63" s="415">
        <v>31</v>
      </c>
      <c r="AQ63" s="415">
        <v>31</v>
      </c>
      <c r="AR63" s="6">
        <f t="shared" ca="1" si="0"/>
        <v>31</v>
      </c>
      <c r="AS63" s="347" t="s">
        <v>66</v>
      </c>
      <c r="AU63" s="10"/>
      <c r="AV63" s="10"/>
      <c r="AW63" s="10"/>
      <c r="AX63" s="10"/>
      <c r="AY63" s="10"/>
      <c r="AZ63" s="10"/>
      <c r="BA63" s="10"/>
    </row>
    <row r="64" spans="1:53" customFormat="1" ht="24" customHeight="1" x14ac:dyDescent="0.35">
      <c r="A64" s="11"/>
      <c r="B64" s="91"/>
      <c r="C64" s="91"/>
      <c r="D64" s="304" t="s">
        <v>172</v>
      </c>
      <c r="E64" s="301">
        <v>0.89583333333333337</v>
      </c>
      <c r="F64" s="296">
        <v>0.9375</v>
      </c>
      <c r="G64" s="303" t="str">
        <f ca="1">N59</f>
        <v>Iniesta</v>
      </c>
      <c r="H64" s="298"/>
      <c r="I64" s="298"/>
      <c r="J64" s="298"/>
      <c r="K64" s="298"/>
      <c r="L64" s="92"/>
      <c r="M64" s="102">
        <v>16</v>
      </c>
      <c r="N64" s="195" t="str">
        <f t="shared" ca="1" si="4"/>
        <v>Koala</v>
      </c>
      <c r="O64" s="220">
        <f>O60+2</f>
        <v>4733</v>
      </c>
      <c r="P64" s="214">
        <f>+P60+"0:40"</f>
        <v>0.72569444444444453</v>
      </c>
      <c r="Q64" s="149">
        <f t="shared" si="42"/>
        <v>0.72638888888888897</v>
      </c>
      <c r="R64" s="149">
        <f t="shared" si="43"/>
        <v>0.72777777777777786</v>
      </c>
      <c r="S64" s="149">
        <f t="shared" si="28"/>
        <v>0.72916666666666674</v>
      </c>
      <c r="T64" s="149">
        <f t="shared" si="29"/>
        <v>0.72986111111111118</v>
      </c>
      <c r="U64" s="150">
        <f t="shared" si="44"/>
        <v>0.72986111111111118</v>
      </c>
      <c r="V64" s="149">
        <f t="shared" si="45"/>
        <v>0.73055555555555562</v>
      </c>
      <c r="W64" s="149">
        <f t="shared" si="46"/>
        <v>0.73125000000000007</v>
      </c>
      <c r="X64" s="149">
        <f t="shared" si="47"/>
        <v>0.73263888888888895</v>
      </c>
      <c r="Y64" s="149">
        <f t="shared" si="34"/>
        <v>0.73472222222222228</v>
      </c>
      <c r="Z64" s="151">
        <f t="shared" si="48"/>
        <v>0.73611111111111116</v>
      </c>
      <c r="AA64" s="149">
        <f t="shared" si="36"/>
        <v>0.73819444444444449</v>
      </c>
      <c r="AB64" s="149">
        <f t="shared" si="49"/>
        <v>0.7416666666666667</v>
      </c>
      <c r="AC64" s="149">
        <f t="shared" si="50"/>
        <v>0.74375000000000002</v>
      </c>
      <c r="AD64" s="149">
        <f t="shared" si="51"/>
        <v>0.74583333333333335</v>
      </c>
      <c r="AE64" s="149">
        <f t="shared" si="52"/>
        <v>0.74791666666666667</v>
      </c>
      <c r="AF64" s="156">
        <f t="shared" si="53"/>
        <v>0.75069444444444444</v>
      </c>
      <c r="AG64" s="288">
        <f>SUM(AF64+"0:02")</f>
        <v>0.75208333333333333</v>
      </c>
      <c r="AH64" s="159">
        <f>SUM(AG64+"0:01")</f>
        <v>0.75277777777777777</v>
      </c>
      <c r="AI64" s="159">
        <f>SUM(AH64+"0:04")</f>
        <v>0.75555555555555554</v>
      </c>
      <c r="AJ64" s="159">
        <f>SUM(AI64+"0:01")</f>
        <v>0.75624999999999998</v>
      </c>
      <c r="AK64" s="159">
        <f>SUM(AJ64+"0:04")</f>
        <v>0.75902777777777775</v>
      </c>
      <c r="AL64" s="159">
        <f>SUM(AK64+"0:04")</f>
        <v>0.76180555555555551</v>
      </c>
      <c r="AM64" s="70">
        <f>SUM(AL64+"0:04")</f>
        <v>0.76458333333333328</v>
      </c>
      <c r="AN64" s="95"/>
      <c r="AO64" s="107"/>
      <c r="AP64" s="423" t="s">
        <v>202</v>
      </c>
      <c r="AQ64" s="423" t="s">
        <v>184</v>
      </c>
      <c r="AR64" s="6" t="e">
        <f t="shared" ca="1" si="0"/>
        <v>#VALUE!</v>
      </c>
      <c r="AS64" s="347" t="s">
        <v>111</v>
      </c>
      <c r="AU64" s="10"/>
      <c r="AV64" s="10"/>
      <c r="AW64" s="10"/>
      <c r="AX64" s="10"/>
      <c r="AY64" s="10"/>
      <c r="AZ64" s="10"/>
      <c r="BA64" s="10"/>
    </row>
    <row r="65" spans="1:53" customFormat="1" ht="24" customHeight="1" x14ac:dyDescent="0.35">
      <c r="A65" s="11"/>
      <c r="B65" s="91"/>
      <c r="C65" s="91"/>
      <c r="D65" s="304" t="s">
        <v>173</v>
      </c>
      <c r="E65" s="301">
        <v>0.90625</v>
      </c>
      <c r="F65" s="296">
        <v>0.95833333333333337</v>
      </c>
      <c r="G65" s="303" t="str">
        <f ca="1">N56</f>
        <v>Florit</v>
      </c>
      <c r="H65" s="298"/>
      <c r="I65" s="307"/>
      <c r="J65" s="298"/>
      <c r="K65" s="298"/>
      <c r="L65" s="92"/>
      <c r="M65" s="102">
        <v>36</v>
      </c>
      <c r="N65" s="195" t="str">
        <f t="shared" ca="1" si="4"/>
        <v>C, Jaume</v>
      </c>
      <c r="O65" s="221">
        <f>+O63+2</f>
        <v>4553</v>
      </c>
      <c r="P65" s="214">
        <f>+P63+"00:20"</f>
        <v>0.73263888888888828</v>
      </c>
      <c r="Q65" s="149">
        <f t="shared" si="42"/>
        <v>0.73333333333333273</v>
      </c>
      <c r="R65" s="149">
        <f t="shared" si="43"/>
        <v>0.73472222222222161</v>
      </c>
      <c r="S65" s="149">
        <f t="shared" si="28"/>
        <v>0.73611111111111049</v>
      </c>
      <c r="T65" s="149">
        <f t="shared" si="29"/>
        <v>0.73680555555555494</v>
      </c>
      <c r="U65" s="150">
        <f t="shared" si="44"/>
        <v>0.73680555555555494</v>
      </c>
      <c r="V65" s="149">
        <f t="shared" si="45"/>
        <v>0.73749999999999938</v>
      </c>
      <c r="W65" s="149">
        <f t="shared" si="46"/>
        <v>0.73819444444444382</v>
      </c>
      <c r="X65" s="149">
        <f t="shared" si="47"/>
        <v>0.7395833333333327</v>
      </c>
      <c r="Y65" s="149">
        <f t="shared" si="34"/>
        <v>0.74166666666666603</v>
      </c>
      <c r="Z65" s="151">
        <f t="shared" si="48"/>
        <v>0.74305555555555491</v>
      </c>
      <c r="AA65" s="149">
        <f t="shared" si="36"/>
        <v>0.74513888888888824</v>
      </c>
      <c r="AB65" s="149">
        <f t="shared" si="49"/>
        <v>0.74861111111111045</v>
      </c>
      <c r="AC65" s="149">
        <f t="shared" si="50"/>
        <v>0.75069444444444378</v>
      </c>
      <c r="AD65" s="149">
        <f t="shared" si="51"/>
        <v>0.7527777777777771</v>
      </c>
      <c r="AE65" s="149">
        <f t="shared" si="52"/>
        <v>0.75486111111111043</v>
      </c>
      <c r="AF65" s="157">
        <f t="shared" si="53"/>
        <v>0.7576388888888882</v>
      </c>
      <c r="AG65" s="292"/>
      <c r="AH65" s="81"/>
      <c r="AI65" s="82"/>
      <c r="AJ65" s="82"/>
      <c r="AK65" s="81"/>
      <c r="AL65" s="81"/>
      <c r="AM65" s="83"/>
      <c r="AN65" s="86"/>
      <c r="AO65" s="107"/>
      <c r="AP65" s="418" t="s">
        <v>182</v>
      </c>
      <c r="AQ65" s="418" t="s">
        <v>182</v>
      </c>
      <c r="AR65" s="6" t="e">
        <f t="shared" ca="1" si="0"/>
        <v>#VALUE!</v>
      </c>
      <c r="AS65" s="347" t="s">
        <v>83</v>
      </c>
      <c r="AU65" s="10"/>
      <c r="AV65" s="10"/>
      <c r="AW65" s="10"/>
      <c r="AX65" s="10"/>
      <c r="AY65" s="10"/>
      <c r="AZ65" s="10"/>
      <c r="BA65" s="10"/>
    </row>
    <row r="66" spans="1:53" customFormat="1" ht="24" customHeight="1" x14ac:dyDescent="0.35">
      <c r="A66" s="11"/>
      <c r="B66" s="91"/>
      <c r="C66" s="91"/>
      <c r="D66" s="303" t="s">
        <v>175</v>
      </c>
      <c r="E66" s="301">
        <v>0.94791666666666663</v>
      </c>
      <c r="F66" s="296">
        <v>0.96527777777777779</v>
      </c>
      <c r="G66" s="303" t="str">
        <f ca="1">N61</f>
        <v xml:space="preserve">Lucio </v>
      </c>
      <c r="H66" s="298"/>
      <c r="I66" s="307"/>
      <c r="J66" s="298"/>
      <c r="K66" s="298"/>
      <c r="L66" s="92"/>
      <c r="M66" s="102">
        <v>14</v>
      </c>
      <c r="N66" s="195" t="e">
        <f t="shared" ca="1" si="4"/>
        <v>#N/A</v>
      </c>
      <c r="O66" s="221">
        <f>+O65+2</f>
        <v>4555</v>
      </c>
      <c r="P66" s="214">
        <f>+P65+"00:20"</f>
        <v>0.74652777777777712</v>
      </c>
      <c r="Q66" s="149">
        <f t="shared" si="42"/>
        <v>0.74722222222222157</v>
      </c>
      <c r="R66" s="149">
        <f t="shared" si="43"/>
        <v>0.74861111111111045</v>
      </c>
      <c r="S66" s="149">
        <f t="shared" si="28"/>
        <v>0.74999999999999933</v>
      </c>
      <c r="T66" s="149">
        <f t="shared" si="29"/>
        <v>0.75069444444444378</v>
      </c>
      <c r="U66" s="150">
        <f t="shared" si="44"/>
        <v>0.75069444444444378</v>
      </c>
      <c r="V66" s="149">
        <f t="shared" si="45"/>
        <v>0.75138888888888822</v>
      </c>
      <c r="W66" s="149">
        <f t="shared" si="46"/>
        <v>0.75208333333333266</v>
      </c>
      <c r="X66" s="149">
        <f t="shared" si="47"/>
        <v>0.75347222222222154</v>
      </c>
      <c r="Y66" s="149">
        <f t="shared" si="34"/>
        <v>0.75555555555555487</v>
      </c>
      <c r="Z66" s="151">
        <f t="shared" si="48"/>
        <v>0.75694444444444375</v>
      </c>
      <c r="AA66" s="149">
        <f t="shared" si="36"/>
        <v>0.75902777777777708</v>
      </c>
      <c r="AB66" s="149">
        <f t="shared" si="49"/>
        <v>0.76249999999999929</v>
      </c>
      <c r="AC66" s="149">
        <f t="shared" si="50"/>
        <v>0.76458333333333262</v>
      </c>
      <c r="AD66" s="149">
        <f t="shared" si="51"/>
        <v>0.76666666666666594</v>
      </c>
      <c r="AE66" s="149">
        <f t="shared" si="52"/>
        <v>0.76874999999999927</v>
      </c>
      <c r="AF66" s="157">
        <f t="shared" si="53"/>
        <v>0.77152777777777704</v>
      </c>
      <c r="AG66" s="294"/>
      <c r="AH66" s="87"/>
      <c r="AI66" s="88"/>
      <c r="AJ66" s="88"/>
      <c r="AK66" s="87"/>
      <c r="AL66" s="87"/>
      <c r="AM66" s="89"/>
      <c r="AN66" s="89"/>
      <c r="AO66" s="107"/>
      <c r="AP66" s="417">
        <v>5</v>
      </c>
      <c r="AQ66" s="417">
        <v>11</v>
      </c>
      <c r="AR66" s="6">
        <f t="shared" ref="AR66:AR67" ca="1" si="54">VALUE(Solo_Numeros(AQ66))</f>
        <v>11</v>
      </c>
      <c r="AS66" s="348" t="s">
        <v>84</v>
      </c>
      <c r="AU66" s="10"/>
      <c r="AV66" s="10"/>
      <c r="AW66" s="10"/>
      <c r="AX66" s="10"/>
      <c r="AY66" s="10"/>
      <c r="AZ66" s="10"/>
      <c r="BA66" s="10"/>
    </row>
    <row r="67" spans="1:53" customFormat="1" ht="24" customHeight="1" x14ac:dyDescent="0.35">
      <c r="A67" s="11"/>
      <c r="B67" s="91"/>
      <c r="C67" s="91"/>
      <c r="D67" s="326" t="s">
        <v>170</v>
      </c>
      <c r="E67" s="327">
        <v>0.94861111111111107</v>
      </c>
      <c r="F67" s="328">
        <v>0.98402777777777772</v>
      </c>
      <c r="G67" s="326" t="str">
        <f ca="1">N54</f>
        <v>Gomila</v>
      </c>
      <c r="H67" s="372" t="s">
        <v>176</v>
      </c>
      <c r="I67" s="373"/>
      <c r="J67" s="298"/>
      <c r="K67" s="298"/>
      <c r="L67" s="92"/>
      <c r="M67" s="102">
        <v>155</v>
      </c>
      <c r="N67" s="195" t="str">
        <f t="shared" ca="1" si="4"/>
        <v>Jaime Sastre</v>
      </c>
      <c r="O67" s="222">
        <f>O62+2</f>
        <v>4933</v>
      </c>
      <c r="P67" s="214">
        <f>+P62+"1:10"</f>
        <v>0.76041666666666685</v>
      </c>
      <c r="Q67" s="149">
        <f t="shared" si="42"/>
        <v>0.76111111111111129</v>
      </c>
      <c r="R67" s="149">
        <f t="shared" si="43"/>
        <v>0.76250000000000018</v>
      </c>
      <c r="S67" s="149">
        <f t="shared" si="28"/>
        <v>0.76388888888888906</v>
      </c>
      <c r="T67" s="149">
        <f t="shared" si="29"/>
        <v>0.7645833333333335</v>
      </c>
      <c r="U67" s="150">
        <f t="shared" si="44"/>
        <v>0.7645833333333335</v>
      </c>
      <c r="V67" s="149">
        <f t="shared" si="45"/>
        <v>0.76527777777777795</v>
      </c>
      <c r="W67" s="149">
        <f t="shared" si="46"/>
        <v>0.76597222222222239</v>
      </c>
      <c r="X67" s="149">
        <f t="shared" si="47"/>
        <v>0.76736111111111127</v>
      </c>
      <c r="Y67" s="149">
        <f t="shared" si="34"/>
        <v>0.7694444444444446</v>
      </c>
      <c r="Z67" s="151">
        <f t="shared" si="48"/>
        <v>0.77083333333333348</v>
      </c>
      <c r="AA67" s="149">
        <f t="shared" si="36"/>
        <v>0.77291666666666681</v>
      </c>
      <c r="AB67" s="149">
        <f t="shared" si="49"/>
        <v>0.77638888888888902</v>
      </c>
      <c r="AC67" s="149">
        <f t="shared" si="50"/>
        <v>0.77847222222222234</v>
      </c>
      <c r="AD67" s="149">
        <f t="shared" si="51"/>
        <v>0.78055555555555567</v>
      </c>
      <c r="AE67" s="149">
        <f t="shared" si="52"/>
        <v>0.78263888888888899</v>
      </c>
      <c r="AF67" s="156">
        <f t="shared" si="53"/>
        <v>0.78541666666666676</v>
      </c>
      <c r="AG67" s="290">
        <f>SUM(AF67+"0:02")</f>
        <v>0.78680555555555565</v>
      </c>
      <c r="AH67" s="149">
        <f>SUM(AG67+"0:01")</f>
        <v>0.78750000000000009</v>
      </c>
      <c r="AI67" s="149">
        <f>SUM(AH67+"0:04")</f>
        <v>0.79027777777777786</v>
      </c>
      <c r="AJ67" s="149">
        <f>SUM(AI67+"0:00")</f>
        <v>0.79027777777777786</v>
      </c>
      <c r="AK67" s="149">
        <f>SUM(AJ67+"0:08")</f>
        <v>0.79583333333333339</v>
      </c>
      <c r="AL67" s="149">
        <f>SUM(AK67+"0:04")</f>
        <v>0.79861111111111116</v>
      </c>
      <c r="AM67" s="61">
        <f>SUM(AL67+"0:06")</f>
        <v>0.80277777777777781</v>
      </c>
      <c r="AN67" s="96">
        <f>SUM(AM67+"0:09")</f>
        <v>0.80902777777777779</v>
      </c>
      <c r="AO67" s="107"/>
      <c r="AP67" s="429" t="s">
        <v>203</v>
      </c>
      <c r="AQ67" s="429" t="s">
        <v>203</v>
      </c>
      <c r="AR67" s="6" t="e">
        <f t="shared" ca="1" si="54"/>
        <v>#VALUE!</v>
      </c>
      <c r="AS67" s="349" t="s">
        <v>181</v>
      </c>
      <c r="AU67" s="10"/>
      <c r="AV67" s="10"/>
      <c r="AW67" s="10"/>
      <c r="AX67" s="10"/>
      <c r="AY67" s="10"/>
      <c r="AZ67" s="10"/>
      <c r="BA67" s="10"/>
    </row>
    <row r="68" spans="1:53" customFormat="1" ht="24" customHeight="1" x14ac:dyDescent="0.45">
      <c r="A68" s="11"/>
      <c r="B68" s="91"/>
      <c r="C68" s="91"/>
      <c r="D68" s="299"/>
      <c r="E68" s="307"/>
      <c r="F68" s="307"/>
      <c r="G68" s="307"/>
      <c r="H68" s="307"/>
      <c r="I68" s="298"/>
      <c r="J68" s="307"/>
      <c r="K68" s="298"/>
      <c r="L68" s="92"/>
      <c r="M68" s="102">
        <v>18</v>
      </c>
      <c r="N68" s="195" t="str">
        <f t="shared" ca="1" si="4"/>
        <v>Rigo</v>
      </c>
      <c r="O68" s="220">
        <f>+O64+2</f>
        <v>4735</v>
      </c>
      <c r="P68" s="214">
        <f>+P64+"01:10"</f>
        <v>0.77430555555555569</v>
      </c>
      <c r="Q68" s="149">
        <f t="shared" si="42"/>
        <v>0.77500000000000013</v>
      </c>
      <c r="R68" s="149">
        <f t="shared" si="43"/>
        <v>0.77638888888888902</v>
      </c>
      <c r="S68" s="149">
        <f t="shared" si="28"/>
        <v>0.7777777777777779</v>
      </c>
      <c r="T68" s="149">
        <f t="shared" si="29"/>
        <v>0.77847222222222234</v>
      </c>
      <c r="U68" s="150">
        <f t="shared" si="44"/>
        <v>0.77847222222222234</v>
      </c>
      <c r="V68" s="149">
        <f t="shared" si="45"/>
        <v>0.77916666666666679</v>
      </c>
      <c r="W68" s="149">
        <f t="shared" si="46"/>
        <v>0.77986111111111123</v>
      </c>
      <c r="X68" s="149">
        <f t="shared" si="47"/>
        <v>0.78125000000000011</v>
      </c>
      <c r="Y68" s="149">
        <f t="shared" si="34"/>
        <v>0.78333333333333344</v>
      </c>
      <c r="Z68" s="151">
        <f t="shared" si="48"/>
        <v>0.78472222222222232</v>
      </c>
      <c r="AA68" s="149">
        <f t="shared" si="36"/>
        <v>0.78680555555555565</v>
      </c>
      <c r="AB68" s="149">
        <f t="shared" si="49"/>
        <v>0.79027777777777786</v>
      </c>
      <c r="AC68" s="149">
        <f t="shared" si="50"/>
        <v>0.79236111111111118</v>
      </c>
      <c r="AD68" s="149">
        <f t="shared" si="51"/>
        <v>0.79444444444444451</v>
      </c>
      <c r="AE68" s="149">
        <f t="shared" si="52"/>
        <v>0.79652777777777783</v>
      </c>
      <c r="AF68" s="156">
        <f t="shared" si="53"/>
        <v>0.7993055555555556</v>
      </c>
      <c r="AG68" s="288">
        <f>SUM(AF68+"0:02")</f>
        <v>0.80069444444444449</v>
      </c>
      <c r="AH68" s="159">
        <f>SUM(AG68+"0:01")</f>
        <v>0.80138888888888893</v>
      </c>
      <c r="AI68" s="159">
        <f>SUM(AH68+"0:04")</f>
        <v>0.8041666666666667</v>
      </c>
      <c r="AJ68" s="159">
        <f>SUM(AI68+"0:01")</f>
        <v>0.80486111111111114</v>
      </c>
      <c r="AK68" s="159">
        <f>SUM(AJ68+"0:04")</f>
        <v>0.80763888888888891</v>
      </c>
      <c r="AL68" s="159">
        <f>SUM(AK68+"0:04")</f>
        <v>0.81041666666666667</v>
      </c>
      <c r="AM68" s="70">
        <f>SUM(AL68+"0:04")</f>
        <v>0.81319444444444444</v>
      </c>
      <c r="AN68" s="95"/>
      <c r="AO68" s="107"/>
      <c r="AP68" s="357">
        <v>14</v>
      </c>
      <c r="AQ68" s="357">
        <v>14</v>
      </c>
      <c r="AR68" s="122"/>
      <c r="AS68" s="338"/>
      <c r="AU68" s="10"/>
      <c r="AV68" s="10"/>
      <c r="AW68" s="10"/>
      <c r="AX68" s="10"/>
      <c r="AY68" s="10"/>
      <c r="AZ68" s="10"/>
      <c r="BA68" s="10"/>
    </row>
    <row r="69" spans="1:53" customFormat="1" ht="24" customHeight="1" x14ac:dyDescent="0.35">
      <c r="A69" s="11"/>
      <c r="B69" s="91"/>
      <c r="C69" s="91"/>
      <c r="D69" s="91"/>
      <c r="E69" s="93"/>
      <c r="F69" s="93"/>
      <c r="G69" s="93"/>
      <c r="H69" s="93"/>
      <c r="I69" s="92"/>
      <c r="J69" s="93"/>
      <c r="K69" s="92"/>
      <c r="L69" s="92"/>
      <c r="M69" s="102">
        <v>12</v>
      </c>
      <c r="N69" s="195" t="str">
        <f t="shared" ref="N69:N79" ca="1" si="55">VLOOKUP(M69,$AR$2:$AS$80,2,FALSE)</f>
        <v>Iniesta</v>
      </c>
      <c r="O69" s="221">
        <f t="shared" ref="O69:O76" si="56">+O66+2</f>
        <v>4557</v>
      </c>
      <c r="P69" s="214">
        <f t="shared" ref="P69:P78" si="57">+P66+"01:00"</f>
        <v>0.78819444444444375</v>
      </c>
      <c r="Q69" s="149">
        <f t="shared" si="42"/>
        <v>0.7888888888888882</v>
      </c>
      <c r="R69" s="149">
        <f t="shared" si="43"/>
        <v>0.79027777777777708</v>
      </c>
      <c r="S69" s="149">
        <f t="shared" si="28"/>
        <v>0.79166666666666596</v>
      </c>
      <c r="T69" s="149">
        <f t="shared" si="29"/>
        <v>0.79236111111111041</v>
      </c>
      <c r="U69" s="150">
        <f t="shared" si="44"/>
        <v>0.79236111111111041</v>
      </c>
      <c r="V69" s="149">
        <f t="shared" si="45"/>
        <v>0.79305555555555485</v>
      </c>
      <c r="W69" s="149">
        <f t="shared" si="46"/>
        <v>0.79374999999999929</v>
      </c>
      <c r="X69" s="149">
        <f t="shared" si="47"/>
        <v>0.79513888888888817</v>
      </c>
      <c r="Y69" s="149">
        <f t="shared" si="34"/>
        <v>0.7972222222222215</v>
      </c>
      <c r="Z69" s="151">
        <f t="shared" si="48"/>
        <v>0.79861111111111038</v>
      </c>
      <c r="AA69" s="149">
        <f t="shared" si="36"/>
        <v>0.80069444444444371</v>
      </c>
      <c r="AB69" s="149">
        <f t="shared" si="49"/>
        <v>0.80416666666666592</v>
      </c>
      <c r="AC69" s="149">
        <f t="shared" si="50"/>
        <v>0.80624999999999925</v>
      </c>
      <c r="AD69" s="149">
        <f t="shared" si="51"/>
        <v>0.80833333333333257</v>
      </c>
      <c r="AE69" s="149">
        <f t="shared" si="52"/>
        <v>0.8104166666666659</v>
      </c>
      <c r="AF69" s="157">
        <f t="shared" si="53"/>
        <v>0.81319444444444366</v>
      </c>
      <c r="AG69" s="289"/>
      <c r="AH69" s="73"/>
      <c r="AI69" s="77"/>
      <c r="AJ69" s="77"/>
      <c r="AK69" s="73"/>
      <c r="AL69" s="73"/>
      <c r="AM69" s="74"/>
      <c r="AN69" s="89"/>
      <c r="AO69" s="107"/>
      <c r="AP69" s="357">
        <v>154</v>
      </c>
      <c r="AQ69" s="357">
        <v>154</v>
      </c>
      <c r="AR69" s="122"/>
      <c r="AS69" s="338"/>
      <c r="AU69" s="10"/>
      <c r="AV69" s="10"/>
      <c r="AW69" s="10"/>
      <c r="AX69" s="10"/>
      <c r="AY69" s="10"/>
      <c r="AZ69" s="10"/>
      <c r="BA69" s="10"/>
    </row>
    <row r="70" spans="1:53" customFormat="1" ht="24" customHeight="1" x14ac:dyDescent="0.35">
      <c r="A70" s="11"/>
      <c r="B70" s="91"/>
      <c r="C70" s="91"/>
      <c r="D70" s="380"/>
      <c r="E70" s="93"/>
      <c r="F70" s="93"/>
      <c r="G70" s="93"/>
      <c r="H70" s="93"/>
      <c r="I70" s="92"/>
      <c r="J70" s="92"/>
      <c r="K70" s="93"/>
      <c r="L70" s="92"/>
      <c r="M70" s="102">
        <v>13</v>
      </c>
      <c r="N70" s="195" t="str">
        <f t="shared" ca="1" si="55"/>
        <v>Florit</v>
      </c>
      <c r="O70" s="222">
        <f t="shared" si="56"/>
        <v>4935</v>
      </c>
      <c r="P70" s="214">
        <f t="shared" si="57"/>
        <v>0.80208333333333348</v>
      </c>
      <c r="Q70" s="149">
        <f t="shared" si="42"/>
        <v>0.80277777777777792</v>
      </c>
      <c r="R70" s="149">
        <f t="shared" si="43"/>
        <v>0.80416666666666681</v>
      </c>
      <c r="S70" s="149">
        <f t="shared" si="28"/>
        <v>0.80555555555555569</v>
      </c>
      <c r="T70" s="149">
        <f t="shared" si="29"/>
        <v>0.80625000000000013</v>
      </c>
      <c r="U70" s="150">
        <f t="shared" si="44"/>
        <v>0.80625000000000013</v>
      </c>
      <c r="V70" s="149">
        <f t="shared" si="45"/>
        <v>0.80694444444444458</v>
      </c>
      <c r="W70" s="149">
        <f t="shared" si="46"/>
        <v>0.80763888888888902</v>
      </c>
      <c r="X70" s="149">
        <f t="shared" si="47"/>
        <v>0.8090277777777779</v>
      </c>
      <c r="Y70" s="149">
        <f t="shared" si="34"/>
        <v>0.81111111111111123</v>
      </c>
      <c r="Z70" s="151">
        <f t="shared" si="48"/>
        <v>0.81250000000000011</v>
      </c>
      <c r="AA70" s="149">
        <f t="shared" si="36"/>
        <v>0.81458333333333344</v>
      </c>
      <c r="AB70" s="149">
        <f t="shared" si="49"/>
        <v>0.81805555555555565</v>
      </c>
      <c r="AC70" s="149">
        <f t="shared" si="50"/>
        <v>0.82013888888888897</v>
      </c>
      <c r="AD70" s="149">
        <f t="shared" si="51"/>
        <v>0.8222222222222223</v>
      </c>
      <c r="AE70" s="149">
        <f t="shared" si="52"/>
        <v>0.82430555555555562</v>
      </c>
      <c r="AF70" s="156">
        <f t="shared" si="53"/>
        <v>0.82708333333333339</v>
      </c>
      <c r="AG70" s="290">
        <f>SUM(AF70+"0:02")</f>
        <v>0.82847222222222228</v>
      </c>
      <c r="AH70" s="149">
        <f>SUM(AG70+"0:01")</f>
        <v>0.82916666666666672</v>
      </c>
      <c r="AI70" s="149">
        <f>SUM(AH70+"0:04")</f>
        <v>0.83194444444444449</v>
      </c>
      <c r="AJ70" s="149">
        <f>SUM(AI70+"0:00")</f>
        <v>0.83194444444444449</v>
      </c>
      <c r="AK70" s="149">
        <f>SUM(AJ70+"0:08")</f>
        <v>0.83750000000000002</v>
      </c>
      <c r="AL70" s="149">
        <f>SUM(AK70+"0:04")</f>
        <v>0.84027777777777779</v>
      </c>
      <c r="AM70" s="61">
        <f>SUM(AL70+"0:06")</f>
        <v>0.84444444444444444</v>
      </c>
      <c r="AN70" s="96">
        <f>SUM(AM70+"0:09")</f>
        <v>0.85069444444444442</v>
      </c>
      <c r="AO70" s="107"/>
      <c r="AP70" s="355" t="s">
        <v>182</v>
      </c>
      <c r="AQ70" s="355" t="s">
        <v>182</v>
      </c>
      <c r="AR70" s="122"/>
      <c r="AS70" s="339"/>
      <c r="AU70" s="10"/>
      <c r="AV70" s="10"/>
      <c r="AW70" s="10"/>
      <c r="AX70" s="10"/>
      <c r="AY70" s="10"/>
      <c r="AZ70" s="10"/>
      <c r="BA70" s="10"/>
    </row>
    <row r="71" spans="1:53" customFormat="1" ht="24" customHeight="1" x14ac:dyDescent="0.35">
      <c r="A71" s="11"/>
      <c r="B71" s="91"/>
      <c r="C71" s="91"/>
      <c r="D71" s="380"/>
      <c r="E71" s="93"/>
      <c r="F71" s="93"/>
      <c r="G71" s="93"/>
      <c r="H71" s="93"/>
      <c r="I71" s="92"/>
      <c r="J71" s="93"/>
      <c r="K71" s="93"/>
      <c r="L71" s="92"/>
      <c r="M71" s="102">
        <v>15</v>
      </c>
      <c r="N71" s="195" t="str">
        <f t="shared" ca="1" si="55"/>
        <v>Tomeu Moya</v>
      </c>
      <c r="O71" s="220">
        <f t="shared" si="56"/>
        <v>4737</v>
      </c>
      <c r="P71" s="214">
        <f t="shared" si="57"/>
        <v>0.81597222222222232</v>
      </c>
      <c r="Q71" s="149">
        <f t="shared" si="42"/>
        <v>0.81666666666666676</v>
      </c>
      <c r="R71" s="149">
        <f t="shared" si="43"/>
        <v>0.81805555555555565</v>
      </c>
      <c r="S71" s="149">
        <f t="shared" si="28"/>
        <v>0.81944444444444453</v>
      </c>
      <c r="T71" s="149">
        <f t="shared" si="29"/>
        <v>0.82013888888888897</v>
      </c>
      <c r="U71" s="150">
        <f t="shared" si="44"/>
        <v>0.82013888888888897</v>
      </c>
      <c r="V71" s="149">
        <f t="shared" si="45"/>
        <v>0.82083333333333341</v>
      </c>
      <c r="W71" s="149">
        <f t="shared" si="46"/>
        <v>0.82152777777777786</v>
      </c>
      <c r="X71" s="149">
        <f t="shared" si="47"/>
        <v>0.82291666666666674</v>
      </c>
      <c r="Y71" s="149">
        <f t="shared" si="34"/>
        <v>0.82500000000000007</v>
      </c>
      <c r="Z71" s="151">
        <f t="shared" si="48"/>
        <v>0.82638888888888895</v>
      </c>
      <c r="AA71" s="149">
        <f t="shared" si="36"/>
        <v>0.82847222222222228</v>
      </c>
      <c r="AB71" s="149">
        <f t="shared" si="49"/>
        <v>0.83194444444444449</v>
      </c>
      <c r="AC71" s="149">
        <f t="shared" si="50"/>
        <v>0.83402777777777781</v>
      </c>
      <c r="AD71" s="149">
        <f t="shared" si="51"/>
        <v>0.83611111111111114</v>
      </c>
      <c r="AE71" s="149">
        <f t="shared" si="52"/>
        <v>0.83819444444444446</v>
      </c>
      <c r="AF71" s="156">
        <f t="shared" si="53"/>
        <v>0.84097222222222223</v>
      </c>
      <c r="AG71" s="288">
        <f>SUM(AF71+"0:02")</f>
        <v>0.84236111111111112</v>
      </c>
      <c r="AH71" s="159">
        <f>SUM(AG71+"0:01")</f>
        <v>0.84305555555555556</v>
      </c>
      <c r="AI71" s="159">
        <f>SUM(AH71+"0:04")</f>
        <v>0.84583333333333333</v>
      </c>
      <c r="AJ71" s="159">
        <f>SUM(AI71+"0:01")</f>
        <v>0.84652777777777777</v>
      </c>
      <c r="AK71" s="159">
        <f>SUM(AJ71+"0:04")</f>
        <v>0.84930555555555554</v>
      </c>
      <c r="AL71" s="159">
        <f>SUM(AK71+"0:04")</f>
        <v>0.8520833333333333</v>
      </c>
      <c r="AM71" s="70">
        <f>SUM(AL71+"0:04")</f>
        <v>0.85486111111111107</v>
      </c>
      <c r="AN71" s="95"/>
      <c r="AO71" s="107"/>
      <c r="AP71" s="430">
        <v>202</v>
      </c>
      <c r="AQ71" s="430">
        <v>17</v>
      </c>
      <c r="AR71" s="6">
        <f t="shared" ref="AR71:AR78" ca="1" si="58">VALUE(Solo_Numeros(AQ71))</f>
        <v>17</v>
      </c>
      <c r="AS71" s="351" t="s">
        <v>51</v>
      </c>
      <c r="AU71" s="10"/>
      <c r="AV71" s="10"/>
      <c r="AW71" s="10"/>
      <c r="AX71" s="10"/>
      <c r="AY71" s="10"/>
      <c r="AZ71" s="10"/>
      <c r="BA71" s="10"/>
    </row>
    <row r="72" spans="1:53" customFormat="1" ht="21" customHeight="1" x14ac:dyDescent="0.35">
      <c r="A72" s="11"/>
      <c r="B72" s="91"/>
      <c r="C72" s="91"/>
      <c r="D72" s="380"/>
      <c r="E72" s="92"/>
      <c r="F72" s="93"/>
      <c r="G72" s="92"/>
      <c r="H72" s="93"/>
      <c r="I72" s="92"/>
      <c r="J72" s="93"/>
      <c r="K72" s="93"/>
      <c r="L72" s="92"/>
      <c r="M72" s="102">
        <v>34</v>
      </c>
      <c r="N72" s="195" t="str">
        <f t="shared" ca="1" si="55"/>
        <v>Miki</v>
      </c>
      <c r="O72" s="221">
        <f t="shared" si="56"/>
        <v>4559</v>
      </c>
      <c r="P72" s="214">
        <f t="shared" si="57"/>
        <v>0.82986111111111038</v>
      </c>
      <c r="Q72" s="149">
        <f t="shared" si="42"/>
        <v>0.83055555555555483</v>
      </c>
      <c r="R72" s="149">
        <f t="shared" si="43"/>
        <v>0.83194444444444371</v>
      </c>
      <c r="S72" s="149">
        <f t="shared" ref="S72:S79" si="59">SUM(R72+"0:02")</f>
        <v>0.83333333333333259</v>
      </c>
      <c r="T72" s="149">
        <f t="shared" ref="T72:T79" si="60">SUM(S72+"0:01")</f>
        <v>0.83402777777777704</v>
      </c>
      <c r="U72" s="150">
        <f t="shared" si="44"/>
        <v>0.83402777777777704</v>
      </c>
      <c r="V72" s="149">
        <f t="shared" si="45"/>
        <v>0.83472222222222148</v>
      </c>
      <c r="W72" s="149">
        <f t="shared" si="46"/>
        <v>0.83541666666666592</v>
      </c>
      <c r="X72" s="149">
        <f t="shared" si="47"/>
        <v>0.8368055555555548</v>
      </c>
      <c r="Y72" s="149">
        <f t="shared" ref="Y72:Y79" si="61">SUM(X72+"0:03")</f>
        <v>0.83888888888888813</v>
      </c>
      <c r="Z72" s="151">
        <f t="shared" si="48"/>
        <v>0.84027777777777701</v>
      </c>
      <c r="AA72" s="149">
        <f t="shared" ref="AA72:AA79" si="62">SUM(Z72+"0:03")</f>
        <v>0.84236111111111034</v>
      </c>
      <c r="AB72" s="149">
        <f t="shared" si="49"/>
        <v>0.84583333333333255</v>
      </c>
      <c r="AC72" s="149">
        <f t="shared" si="50"/>
        <v>0.84791666666666587</v>
      </c>
      <c r="AD72" s="149">
        <f t="shared" si="51"/>
        <v>0.8499999999999992</v>
      </c>
      <c r="AE72" s="149">
        <f t="shared" si="52"/>
        <v>0.85208333333333253</v>
      </c>
      <c r="AF72" s="157">
        <f t="shared" si="53"/>
        <v>0.85486111111111029</v>
      </c>
      <c r="AG72" s="289"/>
      <c r="AH72" s="73"/>
      <c r="AI72" s="77"/>
      <c r="AJ72" s="77"/>
      <c r="AK72" s="73"/>
      <c r="AL72" s="73"/>
      <c r="AM72" s="74"/>
      <c r="AN72" s="89"/>
      <c r="AO72" s="107"/>
      <c r="AP72" s="272">
        <v>201</v>
      </c>
      <c r="AQ72" s="272">
        <v>201</v>
      </c>
      <c r="AR72" s="6">
        <f t="shared" ca="1" si="58"/>
        <v>201</v>
      </c>
      <c r="AS72" s="351" t="s">
        <v>112</v>
      </c>
      <c r="AU72" s="10"/>
      <c r="AV72" s="10"/>
      <c r="AW72" s="10"/>
      <c r="AX72" s="10"/>
      <c r="AY72" s="10"/>
      <c r="AZ72" s="10"/>
      <c r="BA72" s="10"/>
    </row>
    <row r="73" spans="1:53" customFormat="1" ht="21" customHeight="1" x14ac:dyDescent="0.4">
      <c r="A73" s="11"/>
      <c r="B73" s="91"/>
      <c r="C73" s="91"/>
      <c r="D73" s="380"/>
      <c r="E73" s="92"/>
      <c r="F73" s="93"/>
      <c r="G73" s="93"/>
      <c r="H73" s="93"/>
      <c r="I73" s="93"/>
      <c r="J73" s="93"/>
      <c r="K73" s="93"/>
      <c r="L73" s="93"/>
      <c r="M73" s="102">
        <v>17</v>
      </c>
      <c r="N73" s="195" t="str">
        <f t="shared" ca="1" si="55"/>
        <v xml:space="preserve">Lucio </v>
      </c>
      <c r="O73" s="222">
        <f t="shared" si="56"/>
        <v>4937</v>
      </c>
      <c r="P73" s="214">
        <f t="shared" si="57"/>
        <v>0.84375000000000011</v>
      </c>
      <c r="Q73" s="149">
        <f t="shared" si="42"/>
        <v>0.84444444444444455</v>
      </c>
      <c r="R73" s="149">
        <f t="shared" si="43"/>
        <v>0.84583333333333344</v>
      </c>
      <c r="S73" s="149">
        <f t="shared" si="59"/>
        <v>0.84722222222222232</v>
      </c>
      <c r="T73" s="149">
        <f t="shared" si="60"/>
        <v>0.84791666666666676</v>
      </c>
      <c r="U73" s="150">
        <f t="shared" si="44"/>
        <v>0.84791666666666676</v>
      </c>
      <c r="V73" s="149">
        <f t="shared" si="45"/>
        <v>0.8486111111111112</v>
      </c>
      <c r="W73" s="149">
        <f t="shared" si="46"/>
        <v>0.84930555555555565</v>
      </c>
      <c r="X73" s="149">
        <f t="shared" si="47"/>
        <v>0.85069444444444453</v>
      </c>
      <c r="Y73" s="149">
        <f t="shared" si="61"/>
        <v>0.85277777777777786</v>
      </c>
      <c r="Z73" s="151">
        <f t="shared" si="48"/>
        <v>0.85416666666666674</v>
      </c>
      <c r="AA73" s="149">
        <f t="shared" si="62"/>
        <v>0.85625000000000007</v>
      </c>
      <c r="AB73" s="149">
        <f t="shared" si="49"/>
        <v>0.85972222222222228</v>
      </c>
      <c r="AC73" s="149">
        <f t="shared" si="50"/>
        <v>0.8618055555555556</v>
      </c>
      <c r="AD73" s="149">
        <f t="shared" si="51"/>
        <v>0.86388888888888893</v>
      </c>
      <c r="AE73" s="149">
        <f t="shared" si="52"/>
        <v>0.86597222222222225</v>
      </c>
      <c r="AF73" s="156">
        <f t="shared" si="53"/>
        <v>0.86875000000000002</v>
      </c>
      <c r="AG73" s="290">
        <f>SUM(AF73+"0:02")</f>
        <v>0.87013888888888891</v>
      </c>
      <c r="AH73" s="149">
        <f>SUM(AG73+"0:01")</f>
        <v>0.87083333333333335</v>
      </c>
      <c r="AI73" s="149">
        <f>SUM(AH73+"0:04")</f>
        <v>0.87361111111111112</v>
      </c>
      <c r="AJ73" s="149">
        <f>SUM(AI73+"0:00")</f>
        <v>0.87361111111111112</v>
      </c>
      <c r="AK73" s="149">
        <f>SUM(AJ73+"0:08")</f>
        <v>0.87916666666666665</v>
      </c>
      <c r="AL73" s="149">
        <f>SUM(AK73+"0:04")</f>
        <v>0.88194444444444442</v>
      </c>
      <c r="AM73" s="61">
        <f>SUM(AL73+"0:06")</f>
        <v>0.88611111111111107</v>
      </c>
      <c r="AN73" s="96">
        <f>SUM(AM73+"0:09")</f>
        <v>0.89236111111111105</v>
      </c>
      <c r="AO73" s="107"/>
      <c r="AP73" s="356">
        <v>31</v>
      </c>
      <c r="AQ73" s="356">
        <v>31</v>
      </c>
      <c r="AR73" s="122"/>
      <c r="AS73" s="352"/>
      <c r="AU73" s="10"/>
      <c r="AV73" s="10"/>
      <c r="AW73" s="10"/>
      <c r="AX73" s="10"/>
      <c r="AY73" s="10"/>
      <c r="AZ73" s="10"/>
      <c r="BA73" s="10"/>
    </row>
    <row r="74" spans="1:53" customFormat="1" ht="21" customHeight="1" x14ac:dyDescent="0.35">
      <c r="A74" s="11"/>
      <c r="B74" s="91"/>
      <c r="C74" s="380"/>
      <c r="D74" s="380"/>
      <c r="E74" s="92"/>
      <c r="F74" s="93"/>
      <c r="G74" s="93"/>
      <c r="H74" s="93"/>
      <c r="I74" s="93"/>
      <c r="J74" s="92"/>
      <c r="K74" s="93"/>
      <c r="L74" s="93"/>
      <c r="M74" s="102">
        <v>35</v>
      </c>
      <c r="N74" s="195" t="str">
        <f t="shared" ca="1" si="55"/>
        <v>Juanjo</v>
      </c>
      <c r="O74" s="220">
        <f t="shared" si="56"/>
        <v>4739</v>
      </c>
      <c r="P74" s="214">
        <f t="shared" si="57"/>
        <v>0.85763888888888895</v>
      </c>
      <c r="Q74" s="149">
        <f t="shared" si="42"/>
        <v>0.85833333333333339</v>
      </c>
      <c r="R74" s="149">
        <f t="shared" si="43"/>
        <v>0.85972222222222228</v>
      </c>
      <c r="S74" s="149">
        <f t="shared" si="59"/>
        <v>0.86111111111111116</v>
      </c>
      <c r="T74" s="149">
        <f t="shared" si="60"/>
        <v>0.8618055555555556</v>
      </c>
      <c r="U74" s="150">
        <f t="shared" si="44"/>
        <v>0.8618055555555556</v>
      </c>
      <c r="V74" s="149">
        <f t="shared" si="45"/>
        <v>0.86250000000000004</v>
      </c>
      <c r="W74" s="149">
        <f t="shared" si="46"/>
        <v>0.86319444444444449</v>
      </c>
      <c r="X74" s="149">
        <f t="shared" si="47"/>
        <v>0.86458333333333337</v>
      </c>
      <c r="Y74" s="149">
        <f t="shared" si="61"/>
        <v>0.8666666666666667</v>
      </c>
      <c r="Z74" s="151">
        <f t="shared" si="48"/>
        <v>0.86805555555555558</v>
      </c>
      <c r="AA74" s="149">
        <f t="shared" si="62"/>
        <v>0.87013888888888891</v>
      </c>
      <c r="AB74" s="149">
        <f t="shared" si="49"/>
        <v>0.87361111111111112</v>
      </c>
      <c r="AC74" s="149">
        <f t="shared" si="50"/>
        <v>0.87569444444444444</v>
      </c>
      <c r="AD74" s="149">
        <f t="shared" si="51"/>
        <v>0.87777777777777777</v>
      </c>
      <c r="AE74" s="149">
        <f t="shared" si="52"/>
        <v>0.87986111111111109</v>
      </c>
      <c r="AF74" s="156">
        <f t="shared" si="53"/>
        <v>0.88263888888888886</v>
      </c>
      <c r="AG74" s="288">
        <f>SUM(AF74+"0:02")</f>
        <v>0.88402777777777775</v>
      </c>
      <c r="AH74" s="159">
        <f>SUM(AG74+"0:01")</f>
        <v>0.88472222222222219</v>
      </c>
      <c r="AI74" s="159">
        <f>SUM(AH74+"0:04")</f>
        <v>0.88749999999999996</v>
      </c>
      <c r="AJ74" s="159">
        <f>SUM(AI74+"0:01")</f>
        <v>0.8881944444444444</v>
      </c>
      <c r="AK74" s="159">
        <f>SUM(AJ74+"0:04")</f>
        <v>0.89097222222222217</v>
      </c>
      <c r="AL74" s="159">
        <f>SUM(AK74+"0:04")</f>
        <v>0.89374999999999993</v>
      </c>
      <c r="AM74" s="70">
        <f>SUM(AL74+"0:04")</f>
        <v>0.8965277777777777</v>
      </c>
      <c r="AN74" s="95"/>
      <c r="AO74" s="107"/>
      <c r="AP74" s="272" t="s">
        <v>183</v>
      </c>
      <c r="AQ74" s="272" t="s">
        <v>183</v>
      </c>
      <c r="AR74" s="6" t="e">
        <f t="shared" ca="1" si="58"/>
        <v>#VALUE!</v>
      </c>
      <c r="AS74" s="353" t="s">
        <v>113</v>
      </c>
      <c r="AU74" s="10"/>
      <c r="AV74" s="10"/>
      <c r="AW74" s="10"/>
      <c r="AX74" s="10"/>
      <c r="AY74" s="10"/>
      <c r="AZ74" s="10"/>
      <c r="BA74" s="10"/>
    </row>
    <row r="75" spans="1:53" customFormat="1" ht="22.5" customHeight="1" x14ac:dyDescent="0.35">
      <c r="A75" s="11"/>
      <c r="B75" s="91"/>
      <c r="C75" s="380"/>
      <c r="D75" s="380"/>
      <c r="E75" s="93"/>
      <c r="F75" s="93"/>
      <c r="G75" s="93"/>
      <c r="H75" s="92"/>
      <c r="I75" s="93"/>
      <c r="J75" s="92"/>
      <c r="K75" s="93"/>
      <c r="L75" s="93"/>
      <c r="M75" s="102">
        <v>16</v>
      </c>
      <c r="N75" s="195" t="str">
        <f t="shared" ca="1" si="55"/>
        <v>Koala</v>
      </c>
      <c r="O75" s="221">
        <f t="shared" si="56"/>
        <v>4561</v>
      </c>
      <c r="P75" s="214">
        <f t="shared" si="57"/>
        <v>0.87152777777777701</v>
      </c>
      <c r="Q75" s="149">
        <f t="shared" si="42"/>
        <v>0.87222222222222145</v>
      </c>
      <c r="R75" s="149">
        <f t="shared" si="43"/>
        <v>0.87361111111111034</v>
      </c>
      <c r="S75" s="149">
        <f t="shared" si="59"/>
        <v>0.87499999999999922</v>
      </c>
      <c r="T75" s="149">
        <f t="shared" si="60"/>
        <v>0.87569444444444366</v>
      </c>
      <c r="U75" s="150">
        <f t="shared" si="44"/>
        <v>0.87569444444444366</v>
      </c>
      <c r="V75" s="149">
        <f t="shared" si="45"/>
        <v>0.87638888888888811</v>
      </c>
      <c r="W75" s="149">
        <f t="shared" si="46"/>
        <v>0.87708333333333255</v>
      </c>
      <c r="X75" s="149">
        <f t="shared" si="47"/>
        <v>0.87847222222222143</v>
      </c>
      <c r="Y75" s="149">
        <f t="shared" si="61"/>
        <v>0.88055555555555476</v>
      </c>
      <c r="Z75" s="151">
        <f t="shared" si="48"/>
        <v>0.88194444444444364</v>
      </c>
      <c r="AA75" s="149">
        <f t="shared" si="62"/>
        <v>0.88402777777777697</v>
      </c>
      <c r="AB75" s="149">
        <f t="shared" si="49"/>
        <v>0.88749999999999918</v>
      </c>
      <c r="AC75" s="149">
        <f t="shared" si="50"/>
        <v>0.8895833333333325</v>
      </c>
      <c r="AD75" s="149">
        <f t="shared" si="51"/>
        <v>0.89166666666666583</v>
      </c>
      <c r="AE75" s="149">
        <f t="shared" si="52"/>
        <v>0.89374999999999916</v>
      </c>
      <c r="AF75" s="157">
        <f t="shared" si="53"/>
        <v>0.89652777777777692</v>
      </c>
      <c r="AG75" s="289"/>
      <c r="AH75" s="73"/>
      <c r="AI75" s="77"/>
      <c r="AJ75" s="77"/>
      <c r="AK75" s="73"/>
      <c r="AL75" s="73"/>
      <c r="AM75" s="74"/>
      <c r="AN75" s="89"/>
      <c r="AO75" s="107"/>
      <c r="AP75" s="330">
        <v>102</v>
      </c>
      <c r="AQ75" s="330">
        <v>102</v>
      </c>
      <c r="AR75" s="6">
        <f t="shared" ca="1" si="58"/>
        <v>102</v>
      </c>
      <c r="AS75" s="342" t="s">
        <v>114</v>
      </c>
      <c r="AU75" s="10"/>
      <c r="AV75" s="10"/>
      <c r="AW75" s="10"/>
      <c r="AX75" s="10"/>
      <c r="AY75" s="10"/>
      <c r="AZ75" s="10"/>
      <c r="BA75" s="10"/>
    </row>
    <row r="76" spans="1:53" customFormat="1" ht="21.75" customHeight="1" x14ac:dyDescent="0.35">
      <c r="A76" s="11"/>
      <c r="B76" s="91"/>
      <c r="C76" s="380"/>
      <c r="D76" s="91"/>
      <c r="E76" s="93"/>
      <c r="F76" s="93"/>
      <c r="G76" s="93"/>
      <c r="H76" s="92"/>
      <c r="I76" s="93"/>
      <c r="J76" s="92"/>
      <c r="K76" s="93"/>
      <c r="L76" s="93"/>
      <c r="M76" s="102">
        <v>36</v>
      </c>
      <c r="N76" s="195" t="str">
        <f t="shared" ca="1" si="55"/>
        <v>C, Jaume</v>
      </c>
      <c r="O76" s="222">
        <f t="shared" si="56"/>
        <v>4939</v>
      </c>
      <c r="P76" s="214">
        <f t="shared" si="57"/>
        <v>0.88541666666666674</v>
      </c>
      <c r="Q76" s="149">
        <f t="shared" si="42"/>
        <v>0.88611111111111118</v>
      </c>
      <c r="R76" s="149">
        <f t="shared" si="43"/>
        <v>0.88750000000000007</v>
      </c>
      <c r="S76" s="149">
        <f t="shared" si="59"/>
        <v>0.88888888888888895</v>
      </c>
      <c r="T76" s="149">
        <f t="shared" si="60"/>
        <v>0.88958333333333339</v>
      </c>
      <c r="U76" s="150">
        <f t="shared" si="44"/>
        <v>0.88958333333333339</v>
      </c>
      <c r="V76" s="149">
        <f t="shared" si="45"/>
        <v>0.89027777777777783</v>
      </c>
      <c r="W76" s="149">
        <f t="shared" si="46"/>
        <v>0.89097222222222228</v>
      </c>
      <c r="X76" s="149">
        <f t="shared" si="47"/>
        <v>0.89236111111111116</v>
      </c>
      <c r="Y76" s="149">
        <f t="shared" si="61"/>
        <v>0.89444444444444449</v>
      </c>
      <c r="Z76" s="151">
        <f t="shared" si="48"/>
        <v>0.89583333333333337</v>
      </c>
      <c r="AA76" s="149">
        <f t="shared" si="62"/>
        <v>0.8979166666666667</v>
      </c>
      <c r="AB76" s="149">
        <f t="shared" si="49"/>
        <v>0.90138888888888891</v>
      </c>
      <c r="AC76" s="149">
        <f t="shared" si="50"/>
        <v>0.90347222222222223</v>
      </c>
      <c r="AD76" s="149">
        <f t="shared" si="51"/>
        <v>0.90555555555555556</v>
      </c>
      <c r="AE76" s="149">
        <f t="shared" si="52"/>
        <v>0.90763888888888888</v>
      </c>
      <c r="AF76" s="156">
        <f t="shared" si="53"/>
        <v>0.91041666666666665</v>
      </c>
      <c r="AG76" s="290">
        <f>SUM(AF76+"0:02")</f>
        <v>0.91180555555555554</v>
      </c>
      <c r="AH76" s="149">
        <f>SUM(AG76+"0:01")</f>
        <v>0.91249999999999998</v>
      </c>
      <c r="AI76" s="149">
        <f>SUM(AH76+"0:04")</f>
        <v>0.91527777777777775</v>
      </c>
      <c r="AJ76" s="149">
        <f>SUM(AI76+"0:00")</f>
        <v>0.91527777777777775</v>
      </c>
      <c r="AK76" s="149">
        <f>SUM(AJ76+"0:08")</f>
        <v>0.92083333333333328</v>
      </c>
      <c r="AL76" s="149">
        <f>SUM(AK76+"0:04")</f>
        <v>0.92361111111111105</v>
      </c>
      <c r="AM76" s="61">
        <f>SUM(AL76+"0:06")</f>
        <v>0.9277777777777777</v>
      </c>
      <c r="AN76" s="96">
        <f>SUM(AM76+"0:09")</f>
        <v>0.93402777777777768</v>
      </c>
      <c r="AO76" s="107"/>
      <c r="AP76" s="272" t="s">
        <v>182</v>
      </c>
      <c r="AQ76" s="272" t="s">
        <v>182</v>
      </c>
      <c r="AR76" s="6" t="e">
        <f t="shared" ca="1" si="58"/>
        <v>#VALUE!</v>
      </c>
      <c r="AS76" s="353" t="s">
        <v>115</v>
      </c>
      <c r="AU76" s="10"/>
      <c r="AV76" s="10"/>
      <c r="AW76" s="10"/>
      <c r="AX76" s="10"/>
      <c r="AY76" s="10"/>
      <c r="AZ76" s="10"/>
      <c r="BA76" s="10"/>
    </row>
    <row r="77" spans="1:53" customFormat="1" ht="21.75" customHeight="1" x14ac:dyDescent="0.35">
      <c r="A77" s="11"/>
      <c r="B77" s="91"/>
      <c r="C77" s="91"/>
      <c r="D77" s="91"/>
      <c r="E77" s="93"/>
      <c r="F77" s="93"/>
      <c r="G77" s="93"/>
      <c r="H77" s="92"/>
      <c r="I77" s="93"/>
      <c r="J77" s="92"/>
      <c r="K77" s="93"/>
      <c r="L77" s="93"/>
      <c r="M77" s="102">
        <v>202</v>
      </c>
      <c r="N77" s="195" t="str">
        <f t="shared" ca="1" si="55"/>
        <v>Gomila</v>
      </c>
      <c r="O77" s="220">
        <f>+O74+2</f>
        <v>4741</v>
      </c>
      <c r="P77" s="214">
        <f t="shared" si="57"/>
        <v>0.89930555555555558</v>
      </c>
      <c r="Q77" s="149">
        <f t="shared" si="42"/>
        <v>0.9</v>
      </c>
      <c r="R77" s="149">
        <f t="shared" si="43"/>
        <v>0.90138888888888891</v>
      </c>
      <c r="S77" s="149">
        <f t="shared" si="59"/>
        <v>0.90277777777777779</v>
      </c>
      <c r="T77" s="149">
        <f t="shared" si="60"/>
        <v>0.90347222222222223</v>
      </c>
      <c r="U77" s="150">
        <f t="shared" si="44"/>
        <v>0.90347222222222223</v>
      </c>
      <c r="V77" s="149">
        <f t="shared" si="45"/>
        <v>0.90416666666666667</v>
      </c>
      <c r="W77" s="149">
        <f t="shared" si="46"/>
        <v>0.90486111111111112</v>
      </c>
      <c r="X77" s="149">
        <f t="shared" si="47"/>
        <v>0.90625</v>
      </c>
      <c r="Y77" s="149">
        <f t="shared" si="61"/>
        <v>0.90833333333333333</v>
      </c>
      <c r="Z77" s="151">
        <f t="shared" si="48"/>
        <v>0.90972222222222221</v>
      </c>
      <c r="AA77" s="149">
        <f t="shared" si="62"/>
        <v>0.91180555555555554</v>
      </c>
      <c r="AB77" s="149">
        <f t="shared" si="49"/>
        <v>0.91527777777777775</v>
      </c>
      <c r="AC77" s="149">
        <f t="shared" si="50"/>
        <v>0.91736111111111107</v>
      </c>
      <c r="AD77" s="149">
        <f t="shared" si="51"/>
        <v>0.9194444444444444</v>
      </c>
      <c r="AE77" s="149">
        <f t="shared" si="52"/>
        <v>0.92152777777777772</v>
      </c>
      <c r="AF77" s="156">
        <f t="shared" si="53"/>
        <v>0.92430555555555549</v>
      </c>
      <c r="AG77" s="288">
        <f>SUM(AF77+"0:02")</f>
        <v>0.92569444444444438</v>
      </c>
      <c r="AH77" s="159">
        <f>SUM(AG77+"0:01")</f>
        <v>0.92638888888888882</v>
      </c>
      <c r="AI77" s="159">
        <f>SUM(AH77+"0:04")</f>
        <v>0.92916666666666659</v>
      </c>
      <c r="AJ77" s="159">
        <f>SUM(AI77+"0:01")</f>
        <v>0.92986111111111103</v>
      </c>
      <c r="AK77" s="159">
        <f>SUM(AJ77+"0:04")</f>
        <v>0.9326388888888888</v>
      </c>
      <c r="AL77" s="159">
        <f>SUM(AK77+"0:04")</f>
        <v>0.93541666666666656</v>
      </c>
      <c r="AM77" s="70">
        <f>SUM(AL77+"0:04")</f>
        <v>0.93819444444444433</v>
      </c>
      <c r="AN77" s="95"/>
      <c r="AO77" s="107"/>
      <c r="AP77" s="272" t="s">
        <v>85</v>
      </c>
      <c r="AQ77" s="272" t="s">
        <v>85</v>
      </c>
      <c r="AR77" s="6" t="e">
        <f t="shared" ca="1" si="58"/>
        <v>#VALUE!</v>
      </c>
      <c r="AS77" s="342" t="s">
        <v>68</v>
      </c>
      <c r="AU77" s="10"/>
      <c r="AV77" s="10"/>
      <c r="AW77" s="10"/>
      <c r="AX77" s="10"/>
      <c r="AY77" s="10"/>
      <c r="AZ77" s="10"/>
      <c r="BA77" s="10"/>
    </row>
    <row r="78" spans="1:53" customFormat="1" ht="21.75" customHeight="1" x14ac:dyDescent="0.35">
      <c r="B78" s="91"/>
      <c r="C78" s="91"/>
      <c r="D78" s="91"/>
      <c r="E78" s="93"/>
      <c r="F78" s="93"/>
      <c r="G78" s="92"/>
      <c r="H78" s="92"/>
      <c r="I78" s="93"/>
      <c r="J78" s="92"/>
      <c r="K78" s="92"/>
      <c r="L78" s="92"/>
      <c r="M78" s="102">
        <v>19</v>
      </c>
      <c r="N78" s="195" t="str">
        <f t="shared" ca="1" si="55"/>
        <v xml:space="preserve">Campos </v>
      </c>
      <c r="O78" s="221">
        <v>4563</v>
      </c>
      <c r="P78" s="214">
        <f t="shared" si="57"/>
        <v>0.91319444444444364</v>
      </c>
      <c r="Q78" s="149">
        <f t="shared" si="42"/>
        <v>0.91388888888888808</v>
      </c>
      <c r="R78" s="149">
        <f t="shared" si="43"/>
        <v>0.91527777777777697</v>
      </c>
      <c r="S78" s="149">
        <f t="shared" si="59"/>
        <v>0.91666666666666585</v>
      </c>
      <c r="T78" s="149">
        <f t="shared" si="60"/>
        <v>0.91736111111111029</v>
      </c>
      <c r="U78" s="150">
        <f t="shared" si="44"/>
        <v>0.91736111111111029</v>
      </c>
      <c r="V78" s="149">
        <f t="shared" si="45"/>
        <v>0.91805555555555474</v>
      </c>
      <c r="W78" s="149">
        <f t="shared" si="46"/>
        <v>0.91874999999999918</v>
      </c>
      <c r="X78" s="149">
        <f t="shared" si="47"/>
        <v>0.92013888888888806</v>
      </c>
      <c r="Y78" s="149">
        <f t="shared" si="61"/>
        <v>0.92222222222222139</v>
      </c>
      <c r="Z78" s="151">
        <f t="shared" si="48"/>
        <v>0.92361111111111027</v>
      </c>
      <c r="AA78" s="149">
        <f t="shared" si="62"/>
        <v>0.9256944444444436</v>
      </c>
      <c r="AB78" s="149">
        <f t="shared" si="49"/>
        <v>0.92916666666666581</v>
      </c>
      <c r="AC78" s="149">
        <f t="shared" si="50"/>
        <v>0.93124999999999913</v>
      </c>
      <c r="AD78" s="149">
        <f t="shared" si="51"/>
        <v>0.93333333333333246</v>
      </c>
      <c r="AE78" s="149">
        <f t="shared" si="52"/>
        <v>0.93541666666666579</v>
      </c>
      <c r="AF78" s="157">
        <f t="shared" si="53"/>
        <v>0.93819444444444355</v>
      </c>
      <c r="AG78" s="289"/>
      <c r="AH78" s="73"/>
      <c r="AI78" s="73"/>
      <c r="AJ78" s="73"/>
      <c r="AK78" s="73"/>
      <c r="AL78" s="73"/>
      <c r="AM78" s="73"/>
      <c r="AN78" s="87"/>
      <c r="AO78" s="107"/>
      <c r="AP78" s="272">
        <v>101</v>
      </c>
      <c r="AQ78" s="272">
        <v>101</v>
      </c>
      <c r="AR78" s="6">
        <f t="shared" ca="1" si="58"/>
        <v>101</v>
      </c>
      <c r="AS78" s="353" t="s">
        <v>69</v>
      </c>
      <c r="AU78" s="10"/>
      <c r="AV78" s="10"/>
      <c r="AW78" s="10"/>
      <c r="AX78" s="10"/>
      <c r="AY78" s="10"/>
      <c r="AZ78" s="10"/>
      <c r="BA78" s="10"/>
    </row>
    <row r="79" spans="1:53" customFormat="1" ht="25.5" customHeight="1" x14ac:dyDescent="0.35">
      <c r="A79" s="17" t="s">
        <v>19</v>
      </c>
      <c r="B79" s="91"/>
      <c r="C79" s="91"/>
      <c r="D79" s="91"/>
      <c r="E79" s="92"/>
      <c r="F79" s="92"/>
      <c r="G79" s="92"/>
      <c r="H79" s="92"/>
      <c r="I79" s="93"/>
      <c r="J79" s="92"/>
      <c r="K79" s="92"/>
      <c r="L79" s="92"/>
      <c r="M79" s="102">
        <v>102</v>
      </c>
      <c r="N79" s="195" t="str">
        <f t="shared" ca="1" si="55"/>
        <v>Miguel Bosch</v>
      </c>
      <c r="O79" s="222">
        <f>+O76+2</f>
        <v>4941</v>
      </c>
      <c r="P79" s="214">
        <f>+P76+"01:05"</f>
        <v>0.93055555555555558</v>
      </c>
      <c r="Q79" s="152">
        <f t="shared" si="42"/>
        <v>0.93125000000000002</v>
      </c>
      <c r="R79" s="152">
        <f t="shared" si="43"/>
        <v>0.93263888888888891</v>
      </c>
      <c r="S79" s="152">
        <f t="shared" si="59"/>
        <v>0.93402777777777779</v>
      </c>
      <c r="T79" s="152">
        <f t="shared" si="60"/>
        <v>0.93472222222222223</v>
      </c>
      <c r="U79" s="68">
        <f t="shared" si="44"/>
        <v>0.93472222222222223</v>
      </c>
      <c r="V79" s="152">
        <f t="shared" si="45"/>
        <v>0.93541666666666667</v>
      </c>
      <c r="W79" s="152">
        <f t="shared" si="46"/>
        <v>0.93611111111111112</v>
      </c>
      <c r="X79" s="152">
        <f t="shared" si="47"/>
        <v>0.9375</v>
      </c>
      <c r="Y79" s="152">
        <f t="shared" si="61"/>
        <v>0.93958333333333333</v>
      </c>
      <c r="Z79" s="153">
        <f t="shared" si="48"/>
        <v>0.94097222222222221</v>
      </c>
      <c r="AA79" s="152">
        <f t="shared" si="62"/>
        <v>0.94305555555555554</v>
      </c>
      <c r="AB79" s="152">
        <f t="shared" si="49"/>
        <v>0.94652777777777775</v>
      </c>
      <c r="AC79" s="152">
        <f t="shared" si="50"/>
        <v>0.94861111111111107</v>
      </c>
      <c r="AD79" s="152">
        <f t="shared" si="51"/>
        <v>0.9506944444444444</v>
      </c>
      <c r="AE79" s="152">
        <f t="shared" si="52"/>
        <v>0.95277777777777772</v>
      </c>
      <c r="AF79" s="178">
        <f t="shared" si="53"/>
        <v>0.95555555555555549</v>
      </c>
      <c r="AG79" s="293">
        <f>SUM(AF79+"0:02")</f>
        <v>0.95694444444444438</v>
      </c>
      <c r="AH79" s="152">
        <f>SUM(AG79+"0:01")</f>
        <v>0.95763888888888882</v>
      </c>
      <c r="AI79" s="152">
        <f>SUM(AH79+"0:04")</f>
        <v>0.96041666666666659</v>
      </c>
      <c r="AJ79" s="152">
        <f>SUM(AI79+"0:00")</f>
        <v>0.96041666666666659</v>
      </c>
      <c r="AK79" s="152">
        <f>SUM(AJ79+"0:08")</f>
        <v>0.96597222222222212</v>
      </c>
      <c r="AL79" s="152">
        <f>SUM(AK79+"0:04")</f>
        <v>0.96874999999999989</v>
      </c>
      <c r="AM79" s="75">
        <f>SUM(AL79+"0:06")</f>
        <v>0.97291666666666654</v>
      </c>
      <c r="AN79" s="99">
        <f>SUM(AM79+"0:09")</f>
        <v>0.97916666666666652</v>
      </c>
      <c r="AO79" s="107"/>
      <c r="AP79" s="350"/>
      <c r="AQ79" s="354"/>
      <c r="AR79" s="6"/>
      <c r="AS79" s="271"/>
      <c r="AU79" s="10"/>
      <c r="AV79" s="10"/>
      <c r="AW79" s="10"/>
      <c r="AX79" s="10"/>
      <c r="AY79" s="10"/>
      <c r="AZ79" s="10"/>
      <c r="BA79" s="10"/>
    </row>
    <row r="80" spans="1:53" s="8" customFormat="1" ht="57" customHeight="1" x14ac:dyDescent="0.4">
      <c r="A80" s="11"/>
      <c r="B80" s="90"/>
      <c r="C80" s="90"/>
      <c r="D80" s="90"/>
      <c r="M80" s="23"/>
      <c r="N80" s="193"/>
      <c r="O80" s="224"/>
      <c r="P80" s="215" t="s">
        <v>17</v>
      </c>
      <c r="Q80" s="165" t="s">
        <v>16</v>
      </c>
      <c r="R80" s="165" t="s">
        <v>87</v>
      </c>
      <c r="S80" s="165" t="s">
        <v>15</v>
      </c>
      <c r="T80" s="395" t="s">
        <v>99</v>
      </c>
      <c r="U80" s="396"/>
      <c r="V80" s="396"/>
      <c r="W80" s="396"/>
      <c r="X80" s="396"/>
      <c r="Y80" s="396"/>
      <c r="Z80" s="396"/>
      <c r="AA80" s="396"/>
      <c r="AB80" s="396"/>
      <c r="AC80" s="396"/>
      <c r="AD80" s="396"/>
      <c r="AE80" s="116"/>
      <c r="AF80" s="116"/>
      <c r="AG80" s="397" t="s">
        <v>97</v>
      </c>
      <c r="AH80" s="397"/>
      <c r="AI80" s="397"/>
      <c r="AJ80" s="397"/>
      <c r="AK80" s="397"/>
      <c r="AL80" s="397"/>
      <c r="AM80" s="397"/>
      <c r="AN80" s="398"/>
      <c r="AO80"/>
      <c r="AP80" s="350"/>
      <c r="AQ80" s="350"/>
      <c r="AR80" s="6"/>
      <c r="AS80" s="273"/>
    </row>
    <row r="81" spans="1:50" s="8" customFormat="1" ht="72" customHeight="1" x14ac:dyDescent="0.35">
      <c r="A81" s="11" t="s">
        <v>33</v>
      </c>
      <c r="C81" s="400" t="str">
        <f>AP1</f>
        <v>VIERNES</v>
      </c>
      <c r="D81" s="401"/>
      <c r="E81" s="401"/>
      <c r="F81" s="401"/>
      <c r="G81" s="401"/>
      <c r="H81" s="401"/>
      <c r="I81" s="402"/>
      <c r="L81" s="59"/>
      <c r="M81" s="256" t="s">
        <v>101</v>
      </c>
      <c r="N81" s="194" t="s">
        <v>102</v>
      </c>
      <c r="O81" s="225" t="s">
        <v>35</v>
      </c>
      <c r="P81" s="216"/>
      <c r="Q81" s="54" t="s">
        <v>14</v>
      </c>
      <c r="R81" s="165" t="s">
        <v>13</v>
      </c>
      <c r="S81" s="165" t="s">
        <v>86</v>
      </c>
      <c r="T81" s="50" t="s">
        <v>31</v>
      </c>
      <c r="U81" s="50" t="s">
        <v>32</v>
      </c>
      <c r="V81" s="173" t="s">
        <v>36</v>
      </c>
      <c r="W81" s="174" t="s">
        <v>29</v>
      </c>
      <c r="X81" s="53" t="s">
        <v>30</v>
      </c>
      <c r="Y81" s="48" t="s">
        <v>12</v>
      </c>
      <c r="Z81" s="48" t="s">
        <v>11</v>
      </c>
      <c r="AA81" s="49" t="s">
        <v>28</v>
      </c>
      <c r="AB81" s="49" t="s">
        <v>27</v>
      </c>
      <c r="AC81" s="49" t="s">
        <v>26</v>
      </c>
      <c r="AD81" s="52" t="s">
        <v>10</v>
      </c>
      <c r="AE81" s="49" t="s">
        <v>25</v>
      </c>
      <c r="AF81" s="49" t="s">
        <v>24</v>
      </c>
      <c r="AG81" s="49" t="s">
        <v>23</v>
      </c>
      <c r="AH81" s="58" t="s">
        <v>22</v>
      </c>
      <c r="AI81" s="51" t="s">
        <v>18</v>
      </c>
      <c r="AJ81" s="50" t="s">
        <v>93</v>
      </c>
      <c r="AK81" s="48" t="s">
        <v>21</v>
      </c>
      <c r="AL81" s="49" t="s">
        <v>100</v>
      </c>
      <c r="AM81" s="49" t="s">
        <v>92</v>
      </c>
      <c r="AN81" s="108" t="s">
        <v>91</v>
      </c>
      <c r="AO81" s="105"/>
      <c r="AP81" s="400" t="str">
        <f>AP1</f>
        <v>VIERNES</v>
      </c>
      <c r="AQ81" s="401"/>
      <c r="AR81" s="401"/>
      <c r="AS81" s="402"/>
      <c r="AT81" s="60"/>
      <c r="AU81" s="60"/>
      <c r="AV81" s="60"/>
      <c r="AW81" s="25"/>
      <c r="AX81" s="26"/>
    </row>
    <row r="82" spans="1:50" s="8" customFormat="1" ht="24" customHeight="1" x14ac:dyDescent="0.35">
      <c r="A82" s="11"/>
      <c r="B82" s="18"/>
      <c r="C82" s="18"/>
      <c r="L82" s="57"/>
      <c r="M82" s="144">
        <v>8</v>
      </c>
      <c r="N82" s="194" t="str">
        <f ca="1">VLOOKUP(M82,$AR$2:$AS$80,2,FALSE)</f>
        <v xml:space="preserve">Mayol </v>
      </c>
      <c r="O82" s="226">
        <v>4502</v>
      </c>
      <c r="P82" s="197"/>
      <c r="Q82" s="123"/>
      <c r="R82" s="132"/>
      <c r="S82" s="132"/>
      <c r="T82" s="132"/>
      <c r="U82" s="132"/>
      <c r="V82" s="132"/>
      <c r="W82" s="168"/>
      <c r="X82" s="278">
        <v>0.25347222222222221</v>
      </c>
      <c r="Y82" s="160">
        <f t="shared" ref="Y82:Y113" si="63">SUM(X82+"00:04")</f>
        <v>0.25624999999999998</v>
      </c>
      <c r="Z82" s="160">
        <f t="shared" ref="Z82:AA101" si="64">SUM(Y82+"00:03")</f>
        <v>0.2583333333333333</v>
      </c>
      <c r="AA82" s="160">
        <f t="shared" si="64"/>
        <v>0.26041666666666663</v>
      </c>
      <c r="AB82" s="160">
        <f t="shared" ref="AB82:AB112" si="65">SUM(AA82+"00:04")</f>
        <v>0.2631944444444444</v>
      </c>
      <c r="AC82" s="160">
        <f t="shared" ref="AC82:AC113" si="66">SUM(AB82+"00:05")</f>
        <v>0.26666666666666661</v>
      </c>
      <c r="AD82" s="160">
        <f t="shared" ref="AD82:AD113" si="67">SUM(AC82+"00:02")</f>
        <v>0.26805555555555549</v>
      </c>
      <c r="AE82" s="160">
        <f t="shared" ref="AE82:AE113" si="68">SUM(AD82+"00:03")</f>
        <v>0.27013888888888882</v>
      </c>
      <c r="AF82" s="160">
        <f t="shared" ref="AF82:AG101" si="69">SUM(AE82+"00:02")</f>
        <v>0.2715277777777777</v>
      </c>
      <c r="AG82" s="160">
        <f t="shared" si="69"/>
        <v>0.27291666666666659</v>
      </c>
      <c r="AH82" s="160">
        <f t="shared" ref="AH82:AK101" si="70">SUM(AG82+"00:01")</f>
        <v>0.27361111111111103</v>
      </c>
      <c r="AI82" s="161">
        <f t="shared" si="70"/>
        <v>0.27430555555555547</v>
      </c>
      <c r="AJ82" s="160">
        <f t="shared" si="70"/>
        <v>0.27499999999999991</v>
      </c>
      <c r="AK82" s="160">
        <f t="shared" si="70"/>
        <v>0.27569444444444435</v>
      </c>
      <c r="AL82" s="160">
        <f t="shared" ref="AL82:AL113" si="71">SUM(AK82+"00:03")</f>
        <v>0.27777777777777768</v>
      </c>
      <c r="AM82" s="160">
        <f t="shared" ref="AM82:AM113" si="72">SUM(AL82+"00:02")</f>
        <v>0.27916666666666656</v>
      </c>
      <c r="AN82" s="124">
        <f t="shared" ref="AN82:AN113" si="73">SUM(AM82+"00:01")</f>
        <v>0.27986111111111101</v>
      </c>
      <c r="AO82" s="109"/>
      <c r="AP82" s="257"/>
      <c r="AQ82" s="38"/>
      <c r="AR82" s="38"/>
      <c r="AS82" s="258"/>
    </row>
    <row r="83" spans="1:50" s="8" customFormat="1" ht="24" customHeight="1" x14ac:dyDescent="0.35">
      <c r="A83" s="11"/>
      <c r="B83" s="18"/>
      <c r="C83" s="18"/>
      <c r="L83" s="56"/>
      <c r="M83" s="144">
        <v>201</v>
      </c>
      <c r="N83" s="194" t="str">
        <f t="shared" ref="N83:N146" ca="1" si="74">VLOOKUP(M83,$AR$2:$AS$80,2,FALSE)</f>
        <v>Pere Estrany</v>
      </c>
      <c r="O83" s="227">
        <v>4702</v>
      </c>
      <c r="P83" s="198"/>
      <c r="Q83" s="125">
        <v>0.25138888888888888</v>
      </c>
      <c r="R83" s="166">
        <f>Q83+"00:04"</f>
        <v>0.25416666666666665</v>
      </c>
      <c r="S83" s="166">
        <f>R83+"00:04"</f>
        <v>0.25694444444444442</v>
      </c>
      <c r="T83" s="166">
        <f t="shared" ref="T83:V83" si="75">S83+"00:04"</f>
        <v>0.25972222222222219</v>
      </c>
      <c r="U83" s="166">
        <f>T83+"00:01"</f>
        <v>0.26041666666666663</v>
      </c>
      <c r="V83" s="166">
        <f t="shared" si="75"/>
        <v>0.2631944444444444</v>
      </c>
      <c r="W83" s="166">
        <f>V83+"00:01"</f>
        <v>0.26388888888888884</v>
      </c>
      <c r="X83" s="279">
        <f>W83+"00:02"</f>
        <v>0.26527777777777772</v>
      </c>
      <c r="Y83" s="160">
        <f t="shared" si="63"/>
        <v>0.26805555555555549</v>
      </c>
      <c r="Z83" s="160">
        <f t="shared" si="64"/>
        <v>0.27013888888888882</v>
      </c>
      <c r="AA83" s="160">
        <f t="shared" si="64"/>
        <v>0.27222222222222214</v>
      </c>
      <c r="AB83" s="160">
        <f t="shared" si="65"/>
        <v>0.27499999999999991</v>
      </c>
      <c r="AC83" s="160">
        <f t="shared" si="66"/>
        <v>0.27847222222222212</v>
      </c>
      <c r="AD83" s="160">
        <f t="shared" si="67"/>
        <v>0.27986111111111101</v>
      </c>
      <c r="AE83" s="160">
        <f t="shared" si="68"/>
        <v>0.28194444444444433</v>
      </c>
      <c r="AF83" s="160">
        <f t="shared" si="69"/>
        <v>0.28333333333333321</v>
      </c>
      <c r="AG83" s="160">
        <f t="shared" si="69"/>
        <v>0.2847222222222221</v>
      </c>
      <c r="AH83" s="160">
        <f t="shared" si="70"/>
        <v>0.28541666666666654</v>
      </c>
      <c r="AI83" s="161">
        <f t="shared" si="70"/>
        <v>0.28611111111111098</v>
      </c>
      <c r="AJ83" s="160">
        <f t="shared" si="70"/>
        <v>0.28680555555555542</v>
      </c>
      <c r="AK83" s="160">
        <f t="shared" si="70"/>
        <v>0.28749999999999987</v>
      </c>
      <c r="AL83" s="160">
        <f t="shared" si="71"/>
        <v>0.28958333333333319</v>
      </c>
      <c r="AM83" s="160">
        <f t="shared" si="72"/>
        <v>0.29097222222222208</v>
      </c>
      <c r="AN83" s="126">
        <f t="shared" si="73"/>
        <v>0.29166666666666652</v>
      </c>
      <c r="AO83" s="109"/>
      <c r="AP83" s="403" t="s">
        <v>117</v>
      </c>
      <c r="AQ83" s="404"/>
      <c r="AR83" s="404"/>
      <c r="AS83" s="405"/>
    </row>
    <row r="84" spans="1:50" s="8" customFormat="1" ht="24" customHeight="1" thickBot="1" x14ac:dyDescent="0.4">
      <c r="A84" s="11"/>
      <c r="B84" s="18"/>
      <c r="C84" s="18"/>
      <c r="L84" s="56"/>
      <c r="M84" s="144">
        <v>154</v>
      </c>
      <c r="N84" s="194" t="e">
        <f t="shared" ca="1" si="74"/>
        <v>#N/A</v>
      </c>
      <c r="O84" s="226">
        <v>4504</v>
      </c>
      <c r="P84" s="199"/>
      <c r="Q84" s="127"/>
      <c r="R84" s="128"/>
      <c r="S84" s="128"/>
      <c r="T84" s="128"/>
      <c r="U84" s="128"/>
      <c r="V84" s="128"/>
      <c r="W84" s="166"/>
      <c r="X84" s="280">
        <v>0.27916666666666667</v>
      </c>
      <c r="Y84" s="162">
        <f t="shared" si="63"/>
        <v>0.28194444444444444</v>
      </c>
      <c r="Z84" s="162">
        <f t="shared" si="64"/>
        <v>0.28402777777777777</v>
      </c>
      <c r="AA84" s="162">
        <f t="shared" si="64"/>
        <v>0.28611111111111109</v>
      </c>
      <c r="AB84" s="162">
        <f t="shared" si="65"/>
        <v>0.28888888888888886</v>
      </c>
      <c r="AC84" s="162">
        <f t="shared" si="66"/>
        <v>0.29236111111111107</v>
      </c>
      <c r="AD84" s="162">
        <f t="shared" si="67"/>
        <v>0.29374999999999996</v>
      </c>
      <c r="AE84" s="162">
        <f t="shared" si="68"/>
        <v>0.29583333333333328</v>
      </c>
      <c r="AF84" s="162">
        <f t="shared" si="69"/>
        <v>0.29722222222222217</v>
      </c>
      <c r="AG84" s="162">
        <f t="shared" si="69"/>
        <v>0.29861111111111105</v>
      </c>
      <c r="AH84" s="162">
        <f t="shared" si="70"/>
        <v>0.29930555555555549</v>
      </c>
      <c r="AI84" s="163">
        <f t="shared" si="70"/>
        <v>0.29999999999999993</v>
      </c>
      <c r="AJ84" s="162">
        <f t="shared" si="70"/>
        <v>0.30069444444444438</v>
      </c>
      <c r="AK84" s="162">
        <f t="shared" si="70"/>
        <v>0.30138888888888882</v>
      </c>
      <c r="AL84" s="162">
        <f t="shared" si="71"/>
        <v>0.30347222222222214</v>
      </c>
      <c r="AM84" s="162">
        <f t="shared" si="72"/>
        <v>0.30486111111111103</v>
      </c>
      <c r="AN84" s="129">
        <f t="shared" si="73"/>
        <v>0.30555555555555547</v>
      </c>
      <c r="AO84" s="109"/>
      <c r="AP84" s="331">
        <v>1</v>
      </c>
      <c r="AQ84" s="186"/>
      <c r="AR84" s="202" t="str">
        <f ca="1">VLOOKUP(AP84,$AR$2:$AS$80,2,FALSE)</f>
        <v>Mika</v>
      </c>
      <c r="AS84" s="259"/>
    </row>
    <row r="85" spans="1:50" s="8" customFormat="1" ht="24" customHeight="1" x14ac:dyDescent="0.35">
      <c r="A85" s="11"/>
      <c r="B85" s="18"/>
      <c r="C85" s="18"/>
      <c r="D85" s="406" t="s">
        <v>116</v>
      </c>
      <c r="E85" s="407"/>
      <c r="F85" s="407"/>
      <c r="G85" s="407"/>
      <c r="H85" s="407"/>
      <c r="I85" s="407"/>
      <c r="J85" s="408"/>
      <c r="K85" s="118"/>
      <c r="L85" s="56"/>
      <c r="M85" s="144">
        <v>10</v>
      </c>
      <c r="N85" s="194" t="str">
        <f t="shared" ca="1" si="74"/>
        <v>Kiko</v>
      </c>
      <c r="O85" s="228">
        <v>4902</v>
      </c>
      <c r="P85" s="200">
        <v>0.26250000000000001</v>
      </c>
      <c r="Q85" s="130">
        <f>+P85+"00:10"</f>
        <v>0.26944444444444443</v>
      </c>
      <c r="R85" s="166">
        <f>+Q85+"00:05"</f>
        <v>0.27291666666666664</v>
      </c>
      <c r="S85" s="166">
        <f>+R85+"00:04"</f>
        <v>0.27569444444444441</v>
      </c>
      <c r="T85" s="166">
        <f>+S85+"00:8"</f>
        <v>0.28124999999999994</v>
      </c>
      <c r="U85" s="166">
        <f>+T85+"00:00"</f>
        <v>0.28124999999999994</v>
      </c>
      <c r="V85" s="166">
        <f>+U85+"00:04"</f>
        <v>0.28402777777777771</v>
      </c>
      <c r="W85" s="166">
        <f>+V85+"00:01"</f>
        <v>0.28472222222222215</v>
      </c>
      <c r="X85" s="279">
        <f>+W85+"00:02"</f>
        <v>0.28611111111111104</v>
      </c>
      <c r="Y85" s="160">
        <f t="shared" si="63"/>
        <v>0.28888888888888881</v>
      </c>
      <c r="Z85" s="160">
        <f t="shared" si="64"/>
        <v>0.29097222222222213</v>
      </c>
      <c r="AA85" s="160">
        <f t="shared" si="64"/>
        <v>0.29305555555555546</v>
      </c>
      <c r="AB85" s="160">
        <f t="shared" si="65"/>
        <v>0.29583333333333323</v>
      </c>
      <c r="AC85" s="160">
        <f t="shared" si="66"/>
        <v>0.29930555555555544</v>
      </c>
      <c r="AD85" s="160">
        <f t="shared" si="67"/>
        <v>0.30069444444444432</v>
      </c>
      <c r="AE85" s="160">
        <f t="shared" si="68"/>
        <v>0.30277777777777765</v>
      </c>
      <c r="AF85" s="160">
        <f t="shared" si="69"/>
        <v>0.30416666666666653</v>
      </c>
      <c r="AG85" s="160">
        <f t="shared" si="69"/>
        <v>0.30555555555555541</v>
      </c>
      <c r="AH85" s="160">
        <f t="shared" si="70"/>
        <v>0.30624999999999986</v>
      </c>
      <c r="AI85" s="161">
        <f t="shared" si="70"/>
        <v>0.3069444444444443</v>
      </c>
      <c r="AJ85" s="160">
        <f t="shared" si="70"/>
        <v>0.30763888888888874</v>
      </c>
      <c r="AK85" s="160">
        <f t="shared" si="70"/>
        <v>0.30833333333333318</v>
      </c>
      <c r="AL85" s="160">
        <f t="shared" si="71"/>
        <v>0.31041666666666651</v>
      </c>
      <c r="AM85" s="160">
        <f t="shared" si="72"/>
        <v>0.31180555555555539</v>
      </c>
      <c r="AN85" s="131">
        <f t="shared" si="73"/>
        <v>0.31249999999999983</v>
      </c>
      <c r="AO85" s="109"/>
      <c r="AP85" s="331">
        <v>2</v>
      </c>
      <c r="AQ85" s="4"/>
      <c r="AR85" s="202" t="str">
        <f t="shared" ref="AR85:AR130" ca="1" si="76">VLOOKUP(AP85,$AR$2:$AS$80,2,FALSE)</f>
        <v>Troskis</v>
      </c>
      <c r="AS85" s="260"/>
    </row>
    <row r="86" spans="1:50" s="8" customFormat="1" ht="24" customHeight="1" thickBot="1" x14ac:dyDescent="0.4">
      <c r="A86" s="11"/>
      <c r="B86" s="18"/>
      <c r="C86" s="18"/>
      <c r="D86" s="409"/>
      <c r="E86" s="410"/>
      <c r="F86" s="410"/>
      <c r="G86" s="410"/>
      <c r="H86" s="410"/>
      <c r="I86" s="410"/>
      <c r="J86" s="411"/>
      <c r="K86" s="118"/>
      <c r="L86" s="56"/>
      <c r="M86" s="144">
        <v>32</v>
      </c>
      <c r="N86" s="194" t="str">
        <f t="shared" ca="1" si="74"/>
        <v>Calafat</v>
      </c>
      <c r="O86" s="226">
        <v>4506</v>
      </c>
      <c r="P86" s="201"/>
      <c r="Q86" s="123"/>
      <c r="R86" s="132"/>
      <c r="S86" s="132"/>
      <c r="T86" s="132"/>
      <c r="U86" s="132"/>
      <c r="V86" s="132"/>
      <c r="W86" s="168"/>
      <c r="X86" s="281">
        <v>0.29305555555555557</v>
      </c>
      <c r="Y86" s="160">
        <f t="shared" si="63"/>
        <v>0.29583333333333334</v>
      </c>
      <c r="Z86" s="160">
        <f t="shared" si="64"/>
        <v>0.29791666666666666</v>
      </c>
      <c r="AA86" s="160">
        <f t="shared" si="64"/>
        <v>0.3</v>
      </c>
      <c r="AB86" s="160">
        <f t="shared" si="65"/>
        <v>0.30277777777777776</v>
      </c>
      <c r="AC86" s="160">
        <f t="shared" si="66"/>
        <v>0.30624999999999997</v>
      </c>
      <c r="AD86" s="160">
        <f t="shared" si="67"/>
        <v>0.30763888888888885</v>
      </c>
      <c r="AE86" s="160">
        <f t="shared" si="68"/>
        <v>0.30972222222222218</v>
      </c>
      <c r="AF86" s="160">
        <f t="shared" si="69"/>
        <v>0.31111111111111106</v>
      </c>
      <c r="AG86" s="160">
        <f t="shared" si="69"/>
        <v>0.31249999999999994</v>
      </c>
      <c r="AH86" s="160">
        <f t="shared" si="70"/>
        <v>0.31319444444444439</v>
      </c>
      <c r="AI86" s="161">
        <f t="shared" si="70"/>
        <v>0.31388888888888883</v>
      </c>
      <c r="AJ86" s="160">
        <f t="shared" si="70"/>
        <v>0.31458333333333327</v>
      </c>
      <c r="AK86" s="160">
        <f t="shared" si="70"/>
        <v>0.31527777777777771</v>
      </c>
      <c r="AL86" s="160">
        <f t="shared" si="71"/>
        <v>0.31736111111111104</v>
      </c>
      <c r="AM86" s="160">
        <f t="shared" si="72"/>
        <v>0.31874999999999992</v>
      </c>
      <c r="AN86" s="124">
        <f t="shared" si="73"/>
        <v>0.31944444444444436</v>
      </c>
      <c r="AO86" s="109"/>
      <c r="AP86" s="331">
        <v>3</v>
      </c>
      <c r="AQ86" s="4"/>
      <c r="AR86" s="202" t="str">
        <f t="shared" ca="1" si="76"/>
        <v xml:space="preserve">Eugenio </v>
      </c>
      <c r="AS86" s="260"/>
    </row>
    <row r="87" spans="1:50" s="8" customFormat="1" ht="24" customHeight="1" x14ac:dyDescent="0.35">
      <c r="A87" s="11"/>
      <c r="B87" s="18"/>
      <c r="C87" s="18"/>
      <c r="D87" s="244">
        <v>151</v>
      </c>
      <c r="E87" s="184">
        <v>5001</v>
      </c>
      <c r="F87" s="245">
        <v>0.27430555555555552</v>
      </c>
      <c r="G87" s="245">
        <v>0.29722222222222222</v>
      </c>
      <c r="H87" s="374" t="str">
        <f t="shared" ref="H87:H134" ca="1" si="77">VLOOKUP(D87,$AR$2:$AS$80,2,FALSE)</f>
        <v>Manu</v>
      </c>
      <c r="I87" s="374"/>
      <c r="J87" s="375"/>
      <c r="L87" s="56"/>
      <c r="M87" s="144">
        <v>31</v>
      </c>
      <c r="N87" s="194" t="str">
        <f t="shared" ca="1" si="74"/>
        <v>Juan Rigo</v>
      </c>
      <c r="O87" s="227">
        <f>+O83+2</f>
        <v>4704</v>
      </c>
      <c r="P87" s="198"/>
      <c r="Q87" s="125">
        <f>Q83+"00:50"</f>
        <v>0.28611111111111109</v>
      </c>
      <c r="R87" s="166">
        <f>Q87+"00:04"</f>
        <v>0.28888888888888886</v>
      </c>
      <c r="S87" s="166">
        <f>R87+"00:04"</f>
        <v>0.29166666666666663</v>
      </c>
      <c r="T87" s="166">
        <f t="shared" ref="T87:V87" si="78">S87+"00:04"</f>
        <v>0.2944444444444444</v>
      </c>
      <c r="U87" s="166">
        <f>T87+"00:01"</f>
        <v>0.29513888888888884</v>
      </c>
      <c r="V87" s="166">
        <f t="shared" si="78"/>
        <v>0.29791666666666661</v>
      </c>
      <c r="W87" s="166">
        <f>V87+"00:01"</f>
        <v>0.29861111111111105</v>
      </c>
      <c r="X87" s="279">
        <f>W87+"00:02"</f>
        <v>0.29999999999999993</v>
      </c>
      <c r="Y87" s="160">
        <f t="shared" si="63"/>
        <v>0.3027777777777777</v>
      </c>
      <c r="Z87" s="160">
        <f t="shared" si="64"/>
        <v>0.30486111111111103</v>
      </c>
      <c r="AA87" s="160">
        <f t="shared" si="64"/>
        <v>0.30694444444444435</v>
      </c>
      <c r="AB87" s="160">
        <f t="shared" si="65"/>
        <v>0.30972222222222212</v>
      </c>
      <c r="AC87" s="160">
        <f t="shared" si="66"/>
        <v>0.31319444444444433</v>
      </c>
      <c r="AD87" s="160">
        <f t="shared" si="67"/>
        <v>0.31458333333333321</v>
      </c>
      <c r="AE87" s="160">
        <f t="shared" si="68"/>
        <v>0.31666666666666654</v>
      </c>
      <c r="AF87" s="160">
        <f t="shared" si="69"/>
        <v>0.31805555555555542</v>
      </c>
      <c r="AG87" s="160">
        <f t="shared" si="69"/>
        <v>0.31944444444444431</v>
      </c>
      <c r="AH87" s="160">
        <f t="shared" si="70"/>
        <v>0.32013888888888875</v>
      </c>
      <c r="AI87" s="161">
        <f t="shared" si="70"/>
        <v>0.32083333333333319</v>
      </c>
      <c r="AJ87" s="160">
        <f t="shared" si="70"/>
        <v>0.32152777777777763</v>
      </c>
      <c r="AK87" s="160">
        <f t="shared" si="70"/>
        <v>0.32222222222222208</v>
      </c>
      <c r="AL87" s="160">
        <f t="shared" si="71"/>
        <v>0.3243055555555554</v>
      </c>
      <c r="AM87" s="160">
        <f t="shared" si="72"/>
        <v>0.32569444444444429</v>
      </c>
      <c r="AN87" s="126">
        <f t="shared" si="73"/>
        <v>0.32638888888888873</v>
      </c>
      <c r="AO87" s="109"/>
      <c r="AP87" s="331">
        <v>4</v>
      </c>
      <c r="AQ87" s="4"/>
      <c r="AR87" s="202" t="str">
        <f t="shared" ca="1" si="76"/>
        <v>Ferriol</v>
      </c>
      <c r="AS87" s="260"/>
    </row>
    <row r="88" spans="1:50" s="8" customFormat="1" ht="24" customHeight="1" x14ac:dyDescent="0.35">
      <c r="A88" s="11"/>
      <c r="B88" s="18"/>
      <c r="C88" s="18"/>
      <c r="D88" s="246">
        <v>152</v>
      </c>
      <c r="E88" s="22">
        <v>5003</v>
      </c>
      <c r="F88" s="247">
        <v>0.28819444444444448</v>
      </c>
      <c r="G88" s="247">
        <v>0.31111111111111112</v>
      </c>
      <c r="H88" s="376" t="str">
        <f t="shared" ca="1" si="77"/>
        <v>Felipe</v>
      </c>
      <c r="I88" s="376"/>
      <c r="J88" s="377"/>
      <c r="L88" s="56"/>
      <c r="M88" s="144">
        <v>4</v>
      </c>
      <c r="N88" s="194" t="str">
        <f t="shared" ca="1" si="74"/>
        <v>Ferriol</v>
      </c>
      <c r="O88" s="226">
        <v>4508</v>
      </c>
      <c r="P88" s="199"/>
      <c r="Q88" s="123"/>
      <c r="R88" s="128"/>
      <c r="S88" s="128"/>
      <c r="T88" s="128"/>
      <c r="U88" s="128"/>
      <c r="V88" s="128"/>
      <c r="W88" s="166"/>
      <c r="X88" s="280">
        <v>0.30694444444444446</v>
      </c>
      <c r="Y88" s="162">
        <f t="shared" si="63"/>
        <v>0.30972222222222223</v>
      </c>
      <c r="Z88" s="162">
        <f t="shared" si="64"/>
        <v>0.31180555555555556</v>
      </c>
      <c r="AA88" s="162">
        <f t="shared" si="64"/>
        <v>0.31388888888888888</v>
      </c>
      <c r="AB88" s="162">
        <f t="shared" si="65"/>
        <v>0.31666666666666665</v>
      </c>
      <c r="AC88" s="162">
        <f t="shared" si="66"/>
        <v>0.32013888888888886</v>
      </c>
      <c r="AD88" s="162">
        <f t="shared" si="67"/>
        <v>0.32152777777777775</v>
      </c>
      <c r="AE88" s="162">
        <f t="shared" si="68"/>
        <v>0.32361111111111107</v>
      </c>
      <c r="AF88" s="162">
        <f t="shared" si="69"/>
        <v>0.32499999999999996</v>
      </c>
      <c r="AG88" s="162">
        <f t="shared" si="69"/>
        <v>0.32638888888888884</v>
      </c>
      <c r="AH88" s="162">
        <f t="shared" si="70"/>
        <v>0.32708333333333328</v>
      </c>
      <c r="AI88" s="163">
        <f t="shared" si="70"/>
        <v>0.32777777777777772</v>
      </c>
      <c r="AJ88" s="162">
        <f t="shared" si="70"/>
        <v>0.32847222222222217</v>
      </c>
      <c r="AK88" s="162">
        <f t="shared" si="70"/>
        <v>0.32916666666666661</v>
      </c>
      <c r="AL88" s="162">
        <f t="shared" si="71"/>
        <v>0.33124999999999993</v>
      </c>
      <c r="AM88" s="162">
        <f t="shared" si="72"/>
        <v>0.33263888888888882</v>
      </c>
      <c r="AN88" s="129">
        <f t="shared" si="73"/>
        <v>0.33333333333333326</v>
      </c>
      <c r="AO88" s="109"/>
      <c r="AP88" s="331">
        <v>5</v>
      </c>
      <c r="AQ88" s="4"/>
      <c r="AR88" s="202" t="str">
        <f t="shared" ca="1" si="76"/>
        <v>Ferrutja</v>
      </c>
      <c r="AS88" s="260"/>
    </row>
    <row r="89" spans="1:50" s="8" customFormat="1" ht="24" customHeight="1" x14ac:dyDescent="0.4">
      <c r="A89" s="11"/>
      <c r="B89" s="18"/>
      <c r="C89" s="18"/>
      <c r="D89" s="248">
        <v>151</v>
      </c>
      <c r="E89" s="185">
        <v>5005</v>
      </c>
      <c r="F89" s="249">
        <v>0.30208333333333331</v>
      </c>
      <c r="G89" s="249">
        <v>0.32500000000000001</v>
      </c>
      <c r="H89" s="378" t="str">
        <f t="shared" ca="1" si="77"/>
        <v>Manu</v>
      </c>
      <c r="I89" s="378"/>
      <c r="J89" s="379"/>
      <c r="L89" s="56"/>
      <c r="M89" s="144">
        <v>101</v>
      </c>
      <c r="N89" s="194" t="str">
        <f t="shared" ca="1" si="74"/>
        <v>M. Febrer</v>
      </c>
      <c r="O89" s="228">
        <v>4904</v>
      </c>
      <c r="P89" s="200">
        <f>P85+"00:38"</f>
        <v>0.28888888888888892</v>
      </c>
      <c r="Q89" s="133">
        <f>+P89+"00:12"</f>
        <v>0.29722222222222228</v>
      </c>
      <c r="R89" s="166">
        <f>+Q89+"00:05"</f>
        <v>0.30069444444444449</v>
      </c>
      <c r="S89" s="166">
        <f>+R89+"00:04"</f>
        <v>0.30347222222222225</v>
      </c>
      <c r="T89" s="166">
        <f>+S89+"00:8"</f>
        <v>0.30902777777777779</v>
      </c>
      <c r="U89" s="166">
        <f>+T89+"00:00"</f>
        <v>0.30902777777777779</v>
      </c>
      <c r="V89" s="166">
        <f>+U89+"00:04"</f>
        <v>0.31180555555555556</v>
      </c>
      <c r="W89" s="166">
        <f>+V89+"00:01"</f>
        <v>0.3125</v>
      </c>
      <c r="X89" s="279">
        <f>+W89+"00:02"</f>
        <v>0.31388888888888888</v>
      </c>
      <c r="Y89" s="160">
        <f t="shared" si="63"/>
        <v>0.31666666666666665</v>
      </c>
      <c r="Z89" s="160">
        <f t="shared" si="64"/>
        <v>0.31874999999999998</v>
      </c>
      <c r="AA89" s="160">
        <f t="shared" si="64"/>
        <v>0.3208333333333333</v>
      </c>
      <c r="AB89" s="160">
        <f t="shared" si="65"/>
        <v>0.32361111111111107</v>
      </c>
      <c r="AC89" s="160">
        <f t="shared" si="66"/>
        <v>0.32708333333333328</v>
      </c>
      <c r="AD89" s="160">
        <f t="shared" si="67"/>
        <v>0.32847222222222217</v>
      </c>
      <c r="AE89" s="160">
        <f t="shared" si="68"/>
        <v>0.33055555555555549</v>
      </c>
      <c r="AF89" s="160">
        <f t="shared" si="69"/>
        <v>0.33194444444444438</v>
      </c>
      <c r="AG89" s="160">
        <f t="shared" si="69"/>
        <v>0.33333333333333326</v>
      </c>
      <c r="AH89" s="160">
        <f t="shared" si="70"/>
        <v>0.3340277777777777</v>
      </c>
      <c r="AI89" s="161">
        <f t="shared" si="70"/>
        <v>0.33472222222222214</v>
      </c>
      <c r="AJ89" s="160">
        <f t="shared" si="70"/>
        <v>0.33541666666666659</v>
      </c>
      <c r="AK89" s="160">
        <f t="shared" si="70"/>
        <v>0.33611111111111103</v>
      </c>
      <c r="AL89" s="160">
        <f t="shared" si="71"/>
        <v>0.33819444444444435</v>
      </c>
      <c r="AM89" s="160">
        <f t="shared" si="72"/>
        <v>0.33958333333333324</v>
      </c>
      <c r="AN89" s="131">
        <f t="shared" si="73"/>
        <v>0.34027777777777768</v>
      </c>
      <c r="AO89" s="109"/>
      <c r="AP89" s="331">
        <v>6</v>
      </c>
      <c r="AQ89" s="4"/>
      <c r="AR89" s="202" t="str">
        <f t="shared" ca="1" si="76"/>
        <v>Pepi</v>
      </c>
      <c r="AS89" s="260"/>
      <c r="AT89" s="37"/>
      <c r="AU89" s="39"/>
      <c r="AX89" s="23"/>
    </row>
    <row r="90" spans="1:50" s="8" customFormat="1" ht="24" customHeight="1" x14ac:dyDescent="0.4">
      <c r="A90" s="11"/>
      <c r="B90" s="18"/>
      <c r="C90" s="18"/>
      <c r="D90" s="246">
        <v>8</v>
      </c>
      <c r="E90" s="22">
        <v>5007</v>
      </c>
      <c r="F90" s="247">
        <v>0.3125</v>
      </c>
      <c r="G90" s="247">
        <v>0.33541666666666664</v>
      </c>
      <c r="H90" s="376" t="str">
        <f t="shared" ca="1" si="77"/>
        <v xml:space="preserve">Mayol </v>
      </c>
      <c r="I90" s="376"/>
      <c r="J90" s="377"/>
      <c r="L90" s="56"/>
      <c r="M90" s="144">
        <v>7</v>
      </c>
      <c r="N90" s="194" t="str">
        <f t="shared" ca="1" si="74"/>
        <v>Salvador</v>
      </c>
      <c r="O90" s="226">
        <f>+O88+2</f>
        <v>4510</v>
      </c>
      <c r="P90" s="201"/>
      <c r="Q90" s="134"/>
      <c r="R90" s="132"/>
      <c r="S90" s="132"/>
      <c r="T90" s="132"/>
      <c r="U90" s="132"/>
      <c r="V90" s="132"/>
      <c r="W90" s="168"/>
      <c r="X90" s="281">
        <f>+X88+"00:20"</f>
        <v>0.32083333333333336</v>
      </c>
      <c r="Y90" s="160">
        <f t="shared" si="63"/>
        <v>0.32361111111111113</v>
      </c>
      <c r="Z90" s="160">
        <f t="shared" si="64"/>
        <v>0.32569444444444445</v>
      </c>
      <c r="AA90" s="160">
        <f t="shared" si="64"/>
        <v>0.32777777777777778</v>
      </c>
      <c r="AB90" s="160">
        <f t="shared" si="65"/>
        <v>0.33055555555555555</v>
      </c>
      <c r="AC90" s="160">
        <f t="shared" si="66"/>
        <v>0.33402777777777776</v>
      </c>
      <c r="AD90" s="160">
        <f t="shared" si="67"/>
        <v>0.33541666666666664</v>
      </c>
      <c r="AE90" s="160">
        <f t="shared" si="68"/>
        <v>0.33749999999999997</v>
      </c>
      <c r="AF90" s="160">
        <f t="shared" si="69"/>
        <v>0.33888888888888885</v>
      </c>
      <c r="AG90" s="160">
        <f t="shared" si="69"/>
        <v>0.34027777777777773</v>
      </c>
      <c r="AH90" s="160">
        <f t="shared" si="70"/>
        <v>0.34097222222222218</v>
      </c>
      <c r="AI90" s="161">
        <f t="shared" si="70"/>
        <v>0.34166666666666662</v>
      </c>
      <c r="AJ90" s="160">
        <f t="shared" si="70"/>
        <v>0.34236111111111106</v>
      </c>
      <c r="AK90" s="160">
        <f t="shared" si="70"/>
        <v>0.3430555555555555</v>
      </c>
      <c r="AL90" s="160">
        <f t="shared" si="71"/>
        <v>0.34513888888888883</v>
      </c>
      <c r="AM90" s="160">
        <f t="shared" si="72"/>
        <v>0.34652777777777771</v>
      </c>
      <c r="AN90" s="124">
        <f t="shared" si="73"/>
        <v>0.34722222222222215</v>
      </c>
      <c r="AO90" s="109"/>
      <c r="AP90" s="331">
        <v>7</v>
      </c>
      <c r="AQ90" s="4"/>
      <c r="AR90" s="202" t="str">
        <f t="shared" ca="1" si="76"/>
        <v>Salvador</v>
      </c>
      <c r="AS90" s="261"/>
      <c r="AT90" s="37"/>
      <c r="AU90" s="39"/>
      <c r="AX90" s="23"/>
    </row>
    <row r="91" spans="1:50" s="8" customFormat="1" ht="24" customHeight="1" x14ac:dyDescent="0.4">
      <c r="A91" s="11"/>
      <c r="B91" s="18"/>
      <c r="C91" s="18"/>
      <c r="D91" s="248">
        <v>152</v>
      </c>
      <c r="E91" s="185">
        <v>5009</v>
      </c>
      <c r="F91" s="249">
        <v>0.31944444444444442</v>
      </c>
      <c r="G91" s="249">
        <v>0.34236111111111112</v>
      </c>
      <c r="H91" s="378" t="str">
        <f t="shared" ca="1" si="77"/>
        <v>Felipe</v>
      </c>
      <c r="I91" s="378"/>
      <c r="J91" s="379"/>
      <c r="L91" s="56"/>
      <c r="M91" s="144">
        <v>5</v>
      </c>
      <c r="N91" s="194" t="str">
        <f t="shared" ca="1" si="74"/>
        <v>Ferrutja</v>
      </c>
      <c r="O91" s="227">
        <f>+O87+2</f>
        <v>4706</v>
      </c>
      <c r="P91" s="198"/>
      <c r="Q91" s="125">
        <f>Q87+"00:40"</f>
        <v>0.31388888888888888</v>
      </c>
      <c r="R91" s="166">
        <f>Q91+"00:04"</f>
        <v>0.31666666666666665</v>
      </c>
      <c r="S91" s="166">
        <f>R91+"00:04"</f>
        <v>0.31944444444444442</v>
      </c>
      <c r="T91" s="166">
        <f t="shared" ref="T91:V91" si="79">S91+"00:04"</f>
        <v>0.32222222222222219</v>
      </c>
      <c r="U91" s="166">
        <f>T91+"00:01"</f>
        <v>0.32291666666666663</v>
      </c>
      <c r="V91" s="166">
        <f t="shared" si="79"/>
        <v>0.3256944444444444</v>
      </c>
      <c r="W91" s="166">
        <f>V91+"00:01"</f>
        <v>0.32638888888888884</v>
      </c>
      <c r="X91" s="279">
        <f>W91+"00:02"</f>
        <v>0.32777777777777772</v>
      </c>
      <c r="Y91" s="160">
        <f t="shared" si="63"/>
        <v>0.33055555555555549</v>
      </c>
      <c r="Z91" s="160">
        <f t="shared" si="64"/>
        <v>0.33263888888888882</v>
      </c>
      <c r="AA91" s="160">
        <f t="shared" si="64"/>
        <v>0.33472222222222214</v>
      </c>
      <c r="AB91" s="160">
        <f t="shared" si="65"/>
        <v>0.33749999999999991</v>
      </c>
      <c r="AC91" s="160">
        <f t="shared" si="66"/>
        <v>0.34097222222222212</v>
      </c>
      <c r="AD91" s="160">
        <f t="shared" si="67"/>
        <v>0.34236111111111101</v>
      </c>
      <c r="AE91" s="160">
        <f t="shared" si="68"/>
        <v>0.34444444444444433</v>
      </c>
      <c r="AF91" s="160">
        <f t="shared" si="69"/>
        <v>0.34583333333333321</v>
      </c>
      <c r="AG91" s="160">
        <f t="shared" si="69"/>
        <v>0.3472222222222221</v>
      </c>
      <c r="AH91" s="160">
        <f t="shared" si="70"/>
        <v>0.34791666666666654</v>
      </c>
      <c r="AI91" s="161">
        <f t="shared" si="70"/>
        <v>0.34861111111111098</v>
      </c>
      <c r="AJ91" s="160">
        <f t="shared" si="70"/>
        <v>0.34930555555555542</v>
      </c>
      <c r="AK91" s="160">
        <f t="shared" si="70"/>
        <v>0.34999999999999987</v>
      </c>
      <c r="AL91" s="160">
        <f t="shared" si="71"/>
        <v>0.35208333333333319</v>
      </c>
      <c r="AM91" s="160">
        <f t="shared" si="72"/>
        <v>0.35347222222222208</v>
      </c>
      <c r="AN91" s="126">
        <f t="shared" si="73"/>
        <v>0.35416666666666652</v>
      </c>
      <c r="AO91" s="109"/>
      <c r="AP91" s="332">
        <v>8</v>
      </c>
      <c r="AQ91" s="40"/>
      <c r="AR91" s="202" t="str">
        <f t="shared" ca="1" si="76"/>
        <v xml:space="preserve">Mayol </v>
      </c>
      <c r="AS91" s="262"/>
      <c r="AT91" s="37"/>
      <c r="AU91" s="39"/>
      <c r="AV91" s="119"/>
      <c r="AW91" s="113"/>
      <c r="AX91" s="113"/>
    </row>
    <row r="92" spans="1:50" s="8" customFormat="1" ht="24" customHeight="1" x14ac:dyDescent="0.4">
      <c r="A92" s="11"/>
      <c r="B92" s="18"/>
      <c r="C92" s="18"/>
      <c r="D92" s="246">
        <v>151</v>
      </c>
      <c r="E92" s="22">
        <v>5011</v>
      </c>
      <c r="F92" s="247">
        <v>0.32986111111111099</v>
      </c>
      <c r="G92" s="247">
        <v>0.35277777777777802</v>
      </c>
      <c r="H92" s="376" t="str">
        <f t="shared" ca="1" si="77"/>
        <v>Manu</v>
      </c>
      <c r="I92" s="376"/>
      <c r="J92" s="377"/>
      <c r="L92" s="56"/>
      <c r="M92" s="144">
        <v>2</v>
      </c>
      <c r="N92" s="194" t="str">
        <f t="shared" ca="1" si="74"/>
        <v>Troskis</v>
      </c>
      <c r="O92" s="226">
        <f>+O90+2</f>
        <v>4512</v>
      </c>
      <c r="P92" s="199"/>
      <c r="Q92" s="123"/>
      <c r="R92" s="128"/>
      <c r="S92" s="128"/>
      <c r="T92" s="128"/>
      <c r="U92" s="128"/>
      <c r="V92" s="128"/>
      <c r="W92" s="166"/>
      <c r="X92" s="280">
        <f>+X90+"00:20"</f>
        <v>0.33472222222222225</v>
      </c>
      <c r="Y92" s="162">
        <f t="shared" si="63"/>
        <v>0.33750000000000002</v>
      </c>
      <c r="Z92" s="162">
        <f t="shared" si="64"/>
        <v>0.33958333333333335</v>
      </c>
      <c r="AA92" s="162">
        <f t="shared" si="64"/>
        <v>0.34166666666666667</v>
      </c>
      <c r="AB92" s="162">
        <f t="shared" si="65"/>
        <v>0.34444444444444444</v>
      </c>
      <c r="AC92" s="162">
        <f t="shared" si="66"/>
        <v>0.34791666666666665</v>
      </c>
      <c r="AD92" s="162">
        <f t="shared" si="67"/>
        <v>0.34930555555555554</v>
      </c>
      <c r="AE92" s="162">
        <f t="shared" si="68"/>
        <v>0.35138888888888886</v>
      </c>
      <c r="AF92" s="162">
        <f t="shared" si="69"/>
        <v>0.35277777777777775</v>
      </c>
      <c r="AG92" s="162">
        <f t="shared" si="69"/>
        <v>0.35416666666666663</v>
      </c>
      <c r="AH92" s="162">
        <f t="shared" si="70"/>
        <v>0.35486111111111107</v>
      </c>
      <c r="AI92" s="163">
        <f t="shared" si="70"/>
        <v>0.35555555555555551</v>
      </c>
      <c r="AJ92" s="162">
        <f t="shared" si="70"/>
        <v>0.35624999999999996</v>
      </c>
      <c r="AK92" s="162">
        <f t="shared" si="70"/>
        <v>0.3569444444444444</v>
      </c>
      <c r="AL92" s="162">
        <f t="shared" si="71"/>
        <v>0.35902777777777772</v>
      </c>
      <c r="AM92" s="162">
        <f t="shared" si="72"/>
        <v>0.36041666666666661</v>
      </c>
      <c r="AN92" s="129">
        <f t="shared" si="73"/>
        <v>0.36111111111111105</v>
      </c>
      <c r="AO92" s="109"/>
      <c r="AP92" s="331">
        <v>10</v>
      </c>
      <c r="AQ92" s="4"/>
      <c r="AR92" s="202" t="str">
        <f t="shared" ca="1" si="76"/>
        <v>Kiko</v>
      </c>
      <c r="AS92" s="262"/>
      <c r="AT92" s="37"/>
      <c r="AU92" s="39"/>
      <c r="AV92" s="120"/>
      <c r="AW92" s="121"/>
      <c r="AX92" s="113"/>
    </row>
    <row r="93" spans="1:50" s="8" customFormat="1" ht="24" customHeight="1" x14ac:dyDescent="0.4">
      <c r="A93" s="11"/>
      <c r="B93" s="18"/>
      <c r="C93" s="18"/>
      <c r="D93" s="248">
        <v>8</v>
      </c>
      <c r="E93" s="185">
        <v>5013</v>
      </c>
      <c r="F93" s="249">
        <v>0.34375</v>
      </c>
      <c r="G93" s="249">
        <v>0.36666666666666697</v>
      </c>
      <c r="H93" s="378" t="str">
        <f t="shared" ca="1" si="77"/>
        <v xml:space="preserve">Mayol </v>
      </c>
      <c r="I93" s="378"/>
      <c r="J93" s="379"/>
      <c r="L93" s="56"/>
      <c r="M93" s="144">
        <v>3</v>
      </c>
      <c r="N93" s="194" t="str">
        <f t="shared" ca="1" si="74"/>
        <v xml:space="preserve">Eugenio </v>
      </c>
      <c r="O93" s="228">
        <f>+O89+2</f>
        <v>4906</v>
      </c>
      <c r="P93" s="200">
        <f>P89+"00:40"</f>
        <v>0.31666666666666671</v>
      </c>
      <c r="Q93" s="133">
        <f>+P93+"00:12"</f>
        <v>0.32500000000000007</v>
      </c>
      <c r="R93" s="166">
        <f>+Q93+"00:05"</f>
        <v>0.32847222222222228</v>
      </c>
      <c r="S93" s="166">
        <f>+R93+"00:04"</f>
        <v>0.33125000000000004</v>
      </c>
      <c r="T93" s="166">
        <f>+S93+"00:8"</f>
        <v>0.33680555555555558</v>
      </c>
      <c r="U93" s="166">
        <f>+T93+"00:00"</f>
        <v>0.33680555555555558</v>
      </c>
      <c r="V93" s="166">
        <f>+U93+"00:04"</f>
        <v>0.33958333333333335</v>
      </c>
      <c r="W93" s="166">
        <f>+V93+"00:01"</f>
        <v>0.34027777777777779</v>
      </c>
      <c r="X93" s="279">
        <f>+W93+"00:02"</f>
        <v>0.34166666666666667</v>
      </c>
      <c r="Y93" s="160">
        <f t="shared" si="63"/>
        <v>0.34444444444444444</v>
      </c>
      <c r="Z93" s="160">
        <f t="shared" si="64"/>
        <v>0.34652777777777777</v>
      </c>
      <c r="AA93" s="160">
        <f t="shared" si="64"/>
        <v>0.34861111111111109</v>
      </c>
      <c r="AB93" s="160">
        <f t="shared" si="65"/>
        <v>0.35138888888888886</v>
      </c>
      <c r="AC93" s="160">
        <f t="shared" si="66"/>
        <v>0.35486111111111107</v>
      </c>
      <c r="AD93" s="160">
        <f t="shared" si="67"/>
        <v>0.35624999999999996</v>
      </c>
      <c r="AE93" s="160">
        <f t="shared" si="68"/>
        <v>0.35833333333333328</v>
      </c>
      <c r="AF93" s="160">
        <f t="shared" si="69"/>
        <v>0.35972222222222217</v>
      </c>
      <c r="AG93" s="160">
        <f t="shared" si="69"/>
        <v>0.36111111111111105</v>
      </c>
      <c r="AH93" s="160">
        <f t="shared" si="70"/>
        <v>0.36180555555555549</v>
      </c>
      <c r="AI93" s="161">
        <f t="shared" si="70"/>
        <v>0.36249999999999993</v>
      </c>
      <c r="AJ93" s="160">
        <f t="shared" si="70"/>
        <v>0.36319444444444438</v>
      </c>
      <c r="AK93" s="160">
        <f t="shared" si="70"/>
        <v>0.36388888888888882</v>
      </c>
      <c r="AL93" s="160">
        <f t="shared" si="71"/>
        <v>0.36597222222222214</v>
      </c>
      <c r="AM93" s="160">
        <f t="shared" si="72"/>
        <v>0.36736111111111103</v>
      </c>
      <c r="AN93" s="131">
        <f t="shared" si="73"/>
        <v>0.36805555555555547</v>
      </c>
      <c r="AO93" s="109"/>
      <c r="AP93" s="331">
        <v>31</v>
      </c>
      <c r="AQ93" s="4"/>
      <c r="AR93" s="202" t="str">
        <f t="shared" ca="1" si="76"/>
        <v>Juan Rigo</v>
      </c>
      <c r="AS93" s="260"/>
      <c r="AT93" s="37"/>
      <c r="AX93" s="114"/>
    </row>
    <row r="94" spans="1:50" s="8" customFormat="1" ht="24" customHeight="1" x14ac:dyDescent="0.4">
      <c r="A94" s="11"/>
      <c r="B94" s="18"/>
      <c r="C94" s="18"/>
      <c r="D94" s="250">
        <v>152</v>
      </c>
      <c r="E94" s="22">
        <v>5015</v>
      </c>
      <c r="F94" s="251">
        <v>0.35416666666666669</v>
      </c>
      <c r="G94" s="251">
        <v>0.37708333333333333</v>
      </c>
      <c r="H94" s="376" t="str">
        <f t="shared" ca="1" si="77"/>
        <v>Felipe</v>
      </c>
      <c r="I94" s="376"/>
      <c r="J94" s="377"/>
      <c r="L94" s="56"/>
      <c r="M94" s="144">
        <v>6</v>
      </c>
      <c r="N94" s="194" t="str">
        <f t="shared" ca="1" si="74"/>
        <v>Pepi</v>
      </c>
      <c r="O94" s="226">
        <f>+O92+2</f>
        <v>4514</v>
      </c>
      <c r="P94" s="201"/>
      <c r="Q94" s="134"/>
      <c r="R94" s="132"/>
      <c r="S94" s="132"/>
      <c r="T94" s="132"/>
      <c r="U94" s="132"/>
      <c r="V94" s="132"/>
      <c r="W94" s="168"/>
      <c r="X94" s="281">
        <f>+X92+"00:20"</f>
        <v>0.34861111111111115</v>
      </c>
      <c r="Y94" s="160">
        <f t="shared" si="63"/>
        <v>0.35138888888888892</v>
      </c>
      <c r="Z94" s="160">
        <f t="shared" si="64"/>
        <v>0.35347222222222224</v>
      </c>
      <c r="AA94" s="160">
        <f t="shared" si="64"/>
        <v>0.35555555555555557</v>
      </c>
      <c r="AB94" s="160">
        <f t="shared" si="65"/>
        <v>0.35833333333333334</v>
      </c>
      <c r="AC94" s="160">
        <f t="shared" si="66"/>
        <v>0.36180555555555555</v>
      </c>
      <c r="AD94" s="160">
        <f t="shared" si="67"/>
        <v>0.36319444444444443</v>
      </c>
      <c r="AE94" s="160">
        <f t="shared" si="68"/>
        <v>0.36527777777777776</v>
      </c>
      <c r="AF94" s="160">
        <f t="shared" si="69"/>
        <v>0.36666666666666664</v>
      </c>
      <c r="AG94" s="160">
        <f t="shared" si="69"/>
        <v>0.36805555555555552</v>
      </c>
      <c r="AH94" s="160">
        <f t="shared" si="70"/>
        <v>0.36874999999999997</v>
      </c>
      <c r="AI94" s="161">
        <f t="shared" si="70"/>
        <v>0.36944444444444441</v>
      </c>
      <c r="AJ94" s="160">
        <f t="shared" si="70"/>
        <v>0.37013888888888885</v>
      </c>
      <c r="AK94" s="160">
        <f t="shared" si="70"/>
        <v>0.37083333333333329</v>
      </c>
      <c r="AL94" s="160">
        <f t="shared" si="71"/>
        <v>0.37291666666666662</v>
      </c>
      <c r="AM94" s="160">
        <f t="shared" si="72"/>
        <v>0.3743055555555555</v>
      </c>
      <c r="AN94" s="124">
        <f t="shared" si="73"/>
        <v>0.37499999999999994</v>
      </c>
      <c r="AO94" s="109"/>
      <c r="AP94" s="331">
        <v>32</v>
      </c>
      <c r="AQ94" s="4"/>
      <c r="AR94" s="202" t="str">
        <f t="shared" ca="1" si="76"/>
        <v>Calafat</v>
      </c>
      <c r="AS94" s="260"/>
      <c r="AT94" s="28"/>
      <c r="AX94" s="36"/>
    </row>
    <row r="95" spans="1:50" s="8" customFormat="1" ht="24" customHeight="1" x14ac:dyDescent="0.35">
      <c r="A95" s="11"/>
      <c r="B95" s="18"/>
      <c r="C95" s="18"/>
      <c r="D95" s="248">
        <v>151</v>
      </c>
      <c r="E95" s="185">
        <v>5017</v>
      </c>
      <c r="F95" s="249">
        <v>0.3611111111111111</v>
      </c>
      <c r="G95" s="249">
        <v>0.3840277777777778</v>
      </c>
      <c r="H95" s="378" t="str">
        <f t="shared" ca="1" si="77"/>
        <v>Manu</v>
      </c>
      <c r="I95" s="378"/>
      <c r="J95" s="379"/>
      <c r="L95" s="56"/>
      <c r="M95" s="144">
        <v>153</v>
      </c>
      <c r="N95" s="194" t="str">
        <f t="shared" ca="1" si="74"/>
        <v>Atero</v>
      </c>
      <c r="O95" s="227">
        <f>+O91+2</f>
        <v>4708</v>
      </c>
      <c r="P95" s="198"/>
      <c r="Q95" s="125">
        <f>Q91+"00:40"</f>
        <v>0.34166666666666667</v>
      </c>
      <c r="R95" s="166">
        <f>Q95+"00:04"</f>
        <v>0.34444444444444444</v>
      </c>
      <c r="S95" s="166">
        <f>R95+"00:04"</f>
        <v>0.34722222222222221</v>
      </c>
      <c r="T95" s="166">
        <f t="shared" ref="T95:V95" si="80">S95+"00:04"</f>
        <v>0.35</v>
      </c>
      <c r="U95" s="166">
        <f>T95+"00:01"</f>
        <v>0.35069444444444442</v>
      </c>
      <c r="V95" s="166">
        <f t="shared" si="80"/>
        <v>0.35347222222222219</v>
      </c>
      <c r="W95" s="166">
        <f>V95+"00:01"</f>
        <v>0.35416666666666663</v>
      </c>
      <c r="X95" s="279">
        <f>W95+"00:02"</f>
        <v>0.35555555555555551</v>
      </c>
      <c r="Y95" s="160">
        <f t="shared" si="63"/>
        <v>0.35833333333333328</v>
      </c>
      <c r="Z95" s="160">
        <f t="shared" si="64"/>
        <v>0.36041666666666661</v>
      </c>
      <c r="AA95" s="160">
        <f t="shared" si="64"/>
        <v>0.36249999999999993</v>
      </c>
      <c r="AB95" s="160">
        <f t="shared" si="65"/>
        <v>0.3652777777777777</v>
      </c>
      <c r="AC95" s="160">
        <f t="shared" si="66"/>
        <v>0.36874999999999991</v>
      </c>
      <c r="AD95" s="160">
        <f t="shared" si="67"/>
        <v>0.3701388888888888</v>
      </c>
      <c r="AE95" s="160">
        <f t="shared" si="68"/>
        <v>0.37222222222222212</v>
      </c>
      <c r="AF95" s="160">
        <f t="shared" si="69"/>
        <v>0.37361111111111101</v>
      </c>
      <c r="AG95" s="160">
        <f t="shared" si="69"/>
        <v>0.37499999999999989</v>
      </c>
      <c r="AH95" s="160">
        <f t="shared" si="70"/>
        <v>0.37569444444444433</v>
      </c>
      <c r="AI95" s="161">
        <f t="shared" si="70"/>
        <v>0.37638888888888877</v>
      </c>
      <c r="AJ95" s="160">
        <f t="shared" si="70"/>
        <v>0.37708333333333321</v>
      </c>
      <c r="AK95" s="160">
        <f t="shared" si="70"/>
        <v>0.37777777777777766</v>
      </c>
      <c r="AL95" s="160">
        <f t="shared" si="71"/>
        <v>0.37986111111111098</v>
      </c>
      <c r="AM95" s="160">
        <f t="shared" si="72"/>
        <v>0.38124999999999987</v>
      </c>
      <c r="AN95" s="126">
        <f t="shared" si="73"/>
        <v>0.38194444444444431</v>
      </c>
      <c r="AO95" s="109"/>
      <c r="AP95" s="331">
        <v>33</v>
      </c>
      <c r="AQ95" s="4"/>
      <c r="AR95" s="202" t="str">
        <f t="shared" ca="1" si="76"/>
        <v xml:space="preserve">Cati </v>
      </c>
      <c r="AS95" s="260"/>
      <c r="AT95" s="28"/>
      <c r="AU95" s="115"/>
      <c r="AV95" s="115"/>
      <c r="AW95" s="113"/>
      <c r="AX95" s="114"/>
    </row>
    <row r="96" spans="1:50" s="8" customFormat="1" ht="24" customHeight="1" x14ac:dyDescent="0.35">
      <c r="A96" s="11"/>
      <c r="B96" s="18"/>
      <c r="C96" s="18"/>
      <c r="D96" s="246">
        <v>8</v>
      </c>
      <c r="E96" s="22">
        <v>5019</v>
      </c>
      <c r="F96" s="247">
        <v>0.37152777777777801</v>
      </c>
      <c r="G96" s="247">
        <v>0.39444444444444399</v>
      </c>
      <c r="H96" s="376" t="str">
        <f t="shared" ca="1" si="77"/>
        <v xml:space="preserve">Mayol </v>
      </c>
      <c r="I96" s="376"/>
      <c r="J96" s="377"/>
      <c r="L96" s="56"/>
      <c r="M96" s="144">
        <v>10</v>
      </c>
      <c r="N96" s="194" t="str">
        <f t="shared" ca="1" si="74"/>
        <v>Kiko</v>
      </c>
      <c r="O96" s="226">
        <f>+O94+2</f>
        <v>4516</v>
      </c>
      <c r="P96" s="199"/>
      <c r="Q96" s="123"/>
      <c r="R96" s="128"/>
      <c r="S96" s="128"/>
      <c r="T96" s="128"/>
      <c r="U96" s="128"/>
      <c r="V96" s="128"/>
      <c r="W96" s="166"/>
      <c r="X96" s="280">
        <f>+X94+"00:20"</f>
        <v>0.36250000000000004</v>
      </c>
      <c r="Y96" s="162">
        <f t="shared" si="63"/>
        <v>0.36527777777777781</v>
      </c>
      <c r="Z96" s="162">
        <f t="shared" si="64"/>
        <v>0.36736111111111114</v>
      </c>
      <c r="AA96" s="162">
        <f t="shared" si="64"/>
        <v>0.36944444444444446</v>
      </c>
      <c r="AB96" s="162">
        <f t="shared" si="65"/>
        <v>0.37222222222222223</v>
      </c>
      <c r="AC96" s="162">
        <f t="shared" si="66"/>
        <v>0.37569444444444444</v>
      </c>
      <c r="AD96" s="162">
        <f t="shared" si="67"/>
        <v>0.37708333333333333</v>
      </c>
      <c r="AE96" s="162">
        <f t="shared" si="68"/>
        <v>0.37916666666666665</v>
      </c>
      <c r="AF96" s="162">
        <f t="shared" si="69"/>
        <v>0.38055555555555554</v>
      </c>
      <c r="AG96" s="162">
        <f t="shared" si="69"/>
        <v>0.38194444444444442</v>
      </c>
      <c r="AH96" s="162">
        <f t="shared" si="70"/>
        <v>0.38263888888888886</v>
      </c>
      <c r="AI96" s="163">
        <f t="shared" si="70"/>
        <v>0.3833333333333333</v>
      </c>
      <c r="AJ96" s="162">
        <f t="shared" si="70"/>
        <v>0.38402777777777775</v>
      </c>
      <c r="AK96" s="162">
        <f t="shared" si="70"/>
        <v>0.38472222222222219</v>
      </c>
      <c r="AL96" s="162">
        <f t="shared" si="71"/>
        <v>0.38680555555555551</v>
      </c>
      <c r="AM96" s="162">
        <f t="shared" si="72"/>
        <v>0.3881944444444444</v>
      </c>
      <c r="AN96" s="129">
        <f t="shared" si="73"/>
        <v>0.38888888888888884</v>
      </c>
      <c r="AO96" s="109"/>
      <c r="AP96" s="331">
        <v>151</v>
      </c>
      <c r="AQ96" s="4"/>
      <c r="AR96" s="202" t="str">
        <f t="shared" ca="1" si="76"/>
        <v>Manu</v>
      </c>
      <c r="AS96" s="260"/>
      <c r="AT96" s="43"/>
      <c r="AX96" s="114"/>
    </row>
    <row r="97" spans="1:51" s="8" customFormat="1" ht="24" customHeight="1" x14ac:dyDescent="0.35">
      <c r="A97" s="11"/>
      <c r="B97" s="18"/>
      <c r="C97" s="18"/>
      <c r="D97" s="248">
        <v>152</v>
      </c>
      <c r="E97" s="185">
        <v>5021</v>
      </c>
      <c r="F97" s="249">
        <v>0.38541666666666802</v>
      </c>
      <c r="G97" s="249">
        <v>0.40833333333333299</v>
      </c>
      <c r="H97" s="378" t="str">
        <f t="shared" ca="1" si="77"/>
        <v>Felipe</v>
      </c>
      <c r="I97" s="378"/>
      <c r="J97" s="379"/>
      <c r="L97" s="56"/>
      <c r="M97" s="144">
        <v>33</v>
      </c>
      <c r="N97" s="194" t="str">
        <f t="shared" ca="1" si="74"/>
        <v xml:space="preserve">Cati </v>
      </c>
      <c r="O97" s="228">
        <f>+O93+2</f>
        <v>4908</v>
      </c>
      <c r="P97" s="200">
        <f>P93+"00:40"</f>
        <v>0.3444444444444445</v>
      </c>
      <c r="Q97" s="133">
        <f>+P97+"00:12"</f>
        <v>0.35277777777777786</v>
      </c>
      <c r="R97" s="166">
        <f>+Q97+"00:05"</f>
        <v>0.35625000000000007</v>
      </c>
      <c r="S97" s="166">
        <f>+R97+"00:04"</f>
        <v>0.35902777777777783</v>
      </c>
      <c r="T97" s="166">
        <f>+S97+"00:8"</f>
        <v>0.36458333333333337</v>
      </c>
      <c r="U97" s="166">
        <f>+T97+"00:00"</f>
        <v>0.36458333333333337</v>
      </c>
      <c r="V97" s="166">
        <f>+U97+"00:04"</f>
        <v>0.36736111111111114</v>
      </c>
      <c r="W97" s="166">
        <f>+V97+"00:01"</f>
        <v>0.36805555555555558</v>
      </c>
      <c r="X97" s="279">
        <f>+W97+"00:02"</f>
        <v>0.36944444444444446</v>
      </c>
      <c r="Y97" s="160">
        <f t="shared" si="63"/>
        <v>0.37222222222222223</v>
      </c>
      <c r="Z97" s="160">
        <f t="shared" si="64"/>
        <v>0.37430555555555556</v>
      </c>
      <c r="AA97" s="160">
        <f t="shared" si="64"/>
        <v>0.37638888888888888</v>
      </c>
      <c r="AB97" s="160">
        <f t="shared" si="65"/>
        <v>0.37916666666666665</v>
      </c>
      <c r="AC97" s="160">
        <f t="shared" si="66"/>
        <v>0.38263888888888886</v>
      </c>
      <c r="AD97" s="160">
        <f t="shared" si="67"/>
        <v>0.38402777777777775</v>
      </c>
      <c r="AE97" s="160">
        <f t="shared" si="68"/>
        <v>0.38611111111111107</v>
      </c>
      <c r="AF97" s="160">
        <f t="shared" si="69"/>
        <v>0.38749999999999996</v>
      </c>
      <c r="AG97" s="160">
        <f t="shared" si="69"/>
        <v>0.38888888888888884</v>
      </c>
      <c r="AH97" s="160">
        <f t="shared" si="70"/>
        <v>0.38958333333333328</v>
      </c>
      <c r="AI97" s="161">
        <f t="shared" si="70"/>
        <v>0.39027777777777772</v>
      </c>
      <c r="AJ97" s="160">
        <f t="shared" si="70"/>
        <v>0.39097222222222217</v>
      </c>
      <c r="AK97" s="160">
        <f t="shared" si="70"/>
        <v>0.39166666666666661</v>
      </c>
      <c r="AL97" s="160">
        <f t="shared" si="71"/>
        <v>0.39374999999999993</v>
      </c>
      <c r="AM97" s="160">
        <f t="shared" si="72"/>
        <v>0.39513888888888882</v>
      </c>
      <c r="AN97" s="131">
        <f t="shared" si="73"/>
        <v>0.39583333333333326</v>
      </c>
      <c r="AO97" s="109"/>
      <c r="AP97" s="331">
        <v>152</v>
      </c>
      <c r="AQ97" s="4"/>
      <c r="AR97" s="202" t="str">
        <f t="shared" ca="1" si="76"/>
        <v>Felipe</v>
      </c>
      <c r="AS97" s="260"/>
      <c r="AT97" s="43"/>
      <c r="AX97" s="114"/>
      <c r="AY97" s="38"/>
    </row>
    <row r="98" spans="1:51" s="8" customFormat="1" ht="24" customHeight="1" x14ac:dyDescent="0.35">
      <c r="A98" s="11"/>
      <c r="B98" s="18"/>
      <c r="C98" s="18"/>
      <c r="D98" s="246">
        <v>6</v>
      </c>
      <c r="E98" s="22">
        <v>5023</v>
      </c>
      <c r="F98" s="247">
        <v>0.39930555555555702</v>
      </c>
      <c r="G98" s="247">
        <v>0.422222222222222</v>
      </c>
      <c r="H98" s="376" t="str">
        <f t="shared" ca="1" si="77"/>
        <v>Pepi</v>
      </c>
      <c r="I98" s="376"/>
      <c r="J98" s="377"/>
      <c r="L98" s="56"/>
      <c r="M98" s="144">
        <v>1</v>
      </c>
      <c r="N98" s="194" t="str">
        <f t="shared" ca="1" si="74"/>
        <v>Mika</v>
      </c>
      <c r="O98" s="226">
        <f>+O96+2</f>
        <v>4518</v>
      </c>
      <c r="P98" s="201"/>
      <c r="Q98" s="134"/>
      <c r="R98" s="132"/>
      <c r="S98" s="132"/>
      <c r="T98" s="132"/>
      <c r="U98" s="132"/>
      <c r="V98" s="132"/>
      <c r="W98" s="168"/>
      <c r="X98" s="281">
        <f>+X96+"00:20"</f>
        <v>0.37638888888888894</v>
      </c>
      <c r="Y98" s="160">
        <f t="shared" si="63"/>
        <v>0.37916666666666671</v>
      </c>
      <c r="Z98" s="160">
        <f t="shared" si="64"/>
        <v>0.38125000000000003</v>
      </c>
      <c r="AA98" s="160">
        <f t="shared" si="64"/>
        <v>0.38333333333333336</v>
      </c>
      <c r="AB98" s="160">
        <f t="shared" si="65"/>
        <v>0.38611111111111113</v>
      </c>
      <c r="AC98" s="160">
        <f t="shared" si="66"/>
        <v>0.38958333333333334</v>
      </c>
      <c r="AD98" s="160">
        <f t="shared" si="67"/>
        <v>0.39097222222222222</v>
      </c>
      <c r="AE98" s="160">
        <f t="shared" si="68"/>
        <v>0.39305555555555555</v>
      </c>
      <c r="AF98" s="160">
        <f t="shared" si="69"/>
        <v>0.39444444444444443</v>
      </c>
      <c r="AG98" s="160">
        <f t="shared" si="69"/>
        <v>0.39583333333333331</v>
      </c>
      <c r="AH98" s="160">
        <f t="shared" si="70"/>
        <v>0.39652777777777776</v>
      </c>
      <c r="AI98" s="161">
        <f t="shared" si="70"/>
        <v>0.3972222222222222</v>
      </c>
      <c r="AJ98" s="160">
        <f t="shared" si="70"/>
        <v>0.39791666666666664</v>
      </c>
      <c r="AK98" s="160">
        <f t="shared" si="70"/>
        <v>0.39861111111111108</v>
      </c>
      <c r="AL98" s="160">
        <f t="shared" si="71"/>
        <v>0.40069444444444441</v>
      </c>
      <c r="AM98" s="160">
        <f t="shared" si="72"/>
        <v>0.40208333333333329</v>
      </c>
      <c r="AN98" s="124">
        <f t="shared" si="73"/>
        <v>0.40277777777777773</v>
      </c>
      <c r="AO98" s="109"/>
      <c r="AP98" s="331">
        <v>153</v>
      </c>
      <c r="AQ98" s="4"/>
      <c r="AR98" s="202" t="str">
        <f t="shared" ca="1" si="76"/>
        <v>Atero</v>
      </c>
      <c r="AS98" s="260"/>
      <c r="AT98" s="43"/>
      <c r="AX98" s="28"/>
      <c r="AY98" s="38"/>
    </row>
    <row r="99" spans="1:51" s="8" customFormat="1" ht="24" customHeight="1" x14ac:dyDescent="0.35">
      <c r="A99" s="11"/>
      <c r="B99" s="18"/>
      <c r="C99" s="18"/>
      <c r="D99" s="248">
        <v>33</v>
      </c>
      <c r="E99" s="185">
        <v>5025</v>
      </c>
      <c r="F99" s="249">
        <v>0.41319444444444597</v>
      </c>
      <c r="G99" s="249">
        <v>0.43611111111111101</v>
      </c>
      <c r="H99" s="378" t="str">
        <f t="shared" ca="1" si="77"/>
        <v xml:space="preserve">Cati </v>
      </c>
      <c r="I99" s="378"/>
      <c r="J99" s="379"/>
      <c r="L99" s="56"/>
      <c r="M99" s="144">
        <v>154</v>
      </c>
      <c r="N99" s="194" t="e">
        <f t="shared" ca="1" si="74"/>
        <v>#N/A</v>
      </c>
      <c r="O99" s="227">
        <f>+O95+2</f>
        <v>4710</v>
      </c>
      <c r="P99" s="198"/>
      <c r="Q99" s="125">
        <f>Q95+"00:40"</f>
        <v>0.36944444444444446</v>
      </c>
      <c r="R99" s="166">
        <f>Q99+"00:04"</f>
        <v>0.37222222222222223</v>
      </c>
      <c r="S99" s="166">
        <f>R99+"00:04"</f>
        <v>0.375</v>
      </c>
      <c r="T99" s="166">
        <f t="shared" ref="T99:V99" si="81">S99+"00:04"</f>
        <v>0.37777777777777777</v>
      </c>
      <c r="U99" s="166">
        <f>T99+"00:01"</f>
        <v>0.37847222222222221</v>
      </c>
      <c r="V99" s="166">
        <f t="shared" si="81"/>
        <v>0.38124999999999998</v>
      </c>
      <c r="W99" s="166">
        <f>V99+"00:01"</f>
        <v>0.38194444444444442</v>
      </c>
      <c r="X99" s="279">
        <f>W99+"00:02"</f>
        <v>0.3833333333333333</v>
      </c>
      <c r="Y99" s="160">
        <f t="shared" si="63"/>
        <v>0.38611111111111107</v>
      </c>
      <c r="Z99" s="160">
        <f t="shared" si="64"/>
        <v>0.3881944444444444</v>
      </c>
      <c r="AA99" s="160">
        <f t="shared" si="64"/>
        <v>0.39027777777777772</v>
      </c>
      <c r="AB99" s="160">
        <f t="shared" si="65"/>
        <v>0.39305555555555549</v>
      </c>
      <c r="AC99" s="160">
        <f t="shared" si="66"/>
        <v>0.3965277777777777</v>
      </c>
      <c r="AD99" s="160">
        <f t="shared" si="67"/>
        <v>0.39791666666666659</v>
      </c>
      <c r="AE99" s="160">
        <f t="shared" si="68"/>
        <v>0.39999999999999991</v>
      </c>
      <c r="AF99" s="160">
        <f t="shared" si="69"/>
        <v>0.4013888888888888</v>
      </c>
      <c r="AG99" s="160">
        <f t="shared" si="69"/>
        <v>0.40277777777777768</v>
      </c>
      <c r="AH99" s="160">
        <f t="shared" si="70"/>
        <v>0.40347222222222212</v>
      </c>
      <c r="AI99" s="161">
        <f t="shared" si="70"/>
        <v>0.40416666666666656</v>
      </c>
      <c r="AJ99" s="160">
        <f t="shared" si="70"/>
        <v>0.40486111111111101</v>
      </c>
      <c r="AK99" s="160">
        <f t="shared" si="70"/>
        <v>0.40555555555555545</v>
      </c>
      <c r="AL99" s="160">
        <f t="shared" si="71"/>
        <v>0.40763888888888877</v>
      </c>
      <c r="AM99" s="160">
        <f t="shared" si="72"/>
        <v>0.40902777777777766</v>
      </c>
      <c r="AN99" s="126">
        <f t="shared" si="73"/>
        <v>0.4097222222222221</v>
      </c>
      <c r="AO99" s="109"/>
      <c r="AP99" s="331">
        <v>154</v>
      </c>
      <c r="AQ99" s="4"/>
      <c r="AR99" s="202" t="e">
        <f t="shared" ca="1" si="76"/>
        <v>#N/A</v>
      </c>
      <c r="AS99" s="260"/>
      <c r="AT99" s="43"/>
      <c r="AX99" s="28"/>
      <c r="AY99" s="38"/>
    </row>
    <row r="100" spans="1:51" s="8" customFormat="1" ht="24" customHeight="1" x14ac:dyDescent="0.35">
      <c r="A100" s="11"/>
      <c r="B100" s="18"/>
      <c r="C100" s="18"/>
      <c r="D100" s="246">
        <v>3</v>
      </c>
      <c r="E100" s="22">
        <v>5027</v>
      </c>
      <c r="F100" s="247">
        <v>0.42708333333333398</v>
      </c>
      <c r="G100" s="247">
        <v>0.45</v>
      </c>
      <c r="H100" s="376" t="str">
        <f t="shared" ca="1" si="77"/>
        <v xml:space="preserve">Eugenio </v>
      </c>
      <c r="I100" s="376"/>
      <c r="J100" s="377"/>
      <c r="L100" s="56"/>
      <c r="M100" s="144">
        <v>101</v>
      </c>
      <c r="N100" s="194" t="str">
        <f t="shared" ca="1" si="74"/>
        <v>M. Febrer</v>
      </c>
      <c r="O100" s="226">
        <f>+O98+2</f>
        <v>4520</v>
      </c>
      <c r="P100" s="199"/>
      <c r="Q100" s="123"/>
      <c r="R100" s="128"/>
      <c r="S100" s="128"/>
      <c r="T100" s="128"/>
      <c r="U100" s="128"/>
      <c r="V100" s="128"/>
      <c r="W100" s="166"/>
      <c r="X100" s="280">
        <f>+X98+"00:20"</f>
        <v>0.39027777777777783</v>
      </c>
      <c r="Y100" s="162">
        <f t="shared" si="63"/>
        <v>0.3930555555555556</v>
      </c>
      <c r="Z100" s="162">
        <f t="shared" si="64"/>
        <v>0.39513888888888893</v>
      </c>
      <c r="AA100" s="162">
        <f t="shared" si="64"/>
        <v>0.39722222222222225</v>
      </c>
      <c r="AB100" s="162">
        <f t="shared" si="65"/>
        <v>0.4</v>
      </c>
      <c r="AC100" s="162">
        <f t="shared" si="66"/>
        <v>0.40347222222222223</v>
      </c>
      <c r="AD100" s="162">
        <f t="shared" si="67"/>
        <v>0.40486111111111112</v>
      </c>
      <c r="AE100" s="162">
        <f t="shared" si="68"/>
        <v>0.40694444444444444</v>
      </c>
      <c r="AF100" s="162">
        <f t="shared" si="69"/>
        <v>0.40833333333333333</v>
      </c>
      <c r="AG100" s="162">
        <f t="shared" si="69"/>
        <v>0.40972222222222221</v>
      </c>
      <c r="AH100" s="162">
        <f t="shared" si="70"/>
        <v>0.41041666666666665</v>
      </c>
      <c r="AI100" s="163">
        <f t="shared" si="70"/>
        <v>0.41111111111111109</v>
      </c>
      <c r="AJ100" s="162">
        <f t="shared" si="70"/>
        <v>0.41180555555555554</v>
      </c>
      <c r="AK100" s="162">
        <f t="shared" si="70"/>
        <v>0.41249999999999998</v>
      </c>
      <c r="AL100" s="162">
        <f t="shared" si="71"/>
        <v>0.4145833333333333</v>
      </c>
      <c r="AM100" s="162">
        <f t="shared" si="72"/>
        <v>0.41597222222222219</v>
      </c>
      <c r="AN100" s="129">
        <f t="shared" si="73"/>
        <v>0.41666666666666663</v>
      </c>
      <c r="AO100" s="109"/>
      <c r="AP100" s="331"/>
      <c r="AQ100" s="4"/>
      <c r="AR100" s="202"/>
      <c r="AS100" s="260"/>
      <c r="AT100" s="43"/>
      <c r="AX100" s="28"/>
      <c r="AY100" s="38"/>
    </row>
    <row r="101" spans="1:51" s="8" customFormat="1" ht="24" customHeight="1" x14ac:dyDescent="0.35">
      <c r="A101" s="11"/>
      <c r="B101" s="18"/>
      <c r="C101" s="18"/>
      <c r="D101" s="248">
        <v>1</v>
      </c>
      <c r="E101" s="185">
        <v>5029</v>
      </c>
      <c r="F101" s="249">
        <v>0.44097222222222299</v>
      </c>
      <c r="G101" s="249">
        <v>0.46388888888888902</v>
      </c>
      <c r="H101" s="378" t="str">
        <f t="shared" ca="1" si="77"/>
        <v>Mika</v>
      </c>
      <c r="I101" s="378"/>
      <c r="J101" s="379"/>
      <c r="L101" s="56"/>
      <c r="M101" s="144">
        <v>201</v>
      </c>
      <c r="N101" s="194" t="str">
        <f t="shared" ca="1" si="74"/>
        <v>Pere Estrany</v>
      </c>
      <c r="O101" s="228">
        <f>+O97+2</f>
        <v>4910</v>
      </c>
      <c r="P101" s="200">
        <f>P97+"00:40"</f>
        <v>0.37222222222222229</v>
      </c>
      <c r="Q101" s="133">
        <f>+P101+"00:12"</f>
        <v>0.38055555555555565</v>
      </c>
      <c r="R101" s="166">
        <f>+Q101+"00:05"</f>
        <v>0.38402777777777786</v>
      </c>
      <c r="S101" s="166">
        <f>+R101+"00:04"</f>
        <v>0.38680555555555562</v>
      </c>
      <c r="T101" s="166">
        <f>+S101+"00:8"</f>
        <v>0.39236111111111116</v>
      </c>
      <c r="U101" s="166">
        <f>+T101+"00:00"</f>
        <v>0.39236111111111116</v>
      </c>
      <c r="V101" s="166">
        <f>+U101+"00:04"</f>
        <v>0.39513888888888893</v>
      </c>
      <c r="W101" s="166">
        <f>+V101+"00:01"</f>
        <v>0.39583333333333337</v>
      </c>
      <c r="X101" s="279">
        <f>+W101+"00:02"</f>
        <v>0.39722222222222225</v>
      </c>
      <c r="Y101" s="160">
        <f t="shared" si="63"/>
        <v>0.4</v>
      </c>
      <c r="Z101" s="160">
        <f t="shared" si="64"/>
        <v>0.40208333333333335</v>
      </c>
      <c r="AA101" s="160">
        <f t="shared" si="64"/>
        <v>0.40416666666666667</v>
      </c>
      <c r="AB101" s="160">
        <f t="shared" si="65"/>
        <v>0.40694444444444444</v>
      </c>
      <c r="AC101" s="160">
        <f t="shared" si="66"/>
        <v>0.41041666666666665</v>
      </c>
      <c r="AD101" s="160">
        <f t="shared" si="67"/>
        <v>0.41180555555555554</v>
      </c>
      <c r="AE101" s="160">
        <f t="shared" si="68"/>
        <v>0.41388888888888886</v>
      </c>
      <c r="AF101" s="160">
        <f t="shared" si="69"/>
        <v>0.41527777777777775</v>
      </c>
      <c r="AG101" s="160">
        <f t="shared" si="69"/>
        <v>0.41666666666666663</v>
      </c>
      <c r="AH101" s="160">
        <f t="shared" si="70"/>
        <v>0.41736111111111107</v>
      </c>
      <c r="AI101" s="161">
        <f t="shared" si="70"/>
        <v>0.41805555555555551</v>
      </c>
      <c r="AJ101" s="160">
        <f t="shared" si="70"/>
        <v>0.41874999999999996</v>
      </c>
      <c r="AK101" s="160">
        <f t="shared" si="70"/>
        <v>0.4194444444444444</v>
      </c>
      <c r="AL101" s="160">
        <f t="shared" si="71"/>
        <v>0.42152777777777772</v>
      </c>
      <c r="AM101" s="160">
        <f t="shared" si="72"/>
        <v>0.42291666666666661</v>
      </c>
      <c r="AN101" s="131">
        <f t="shared" si="73"/>
        <v>0.42361111111111105</v>
      </c>
      <c r="AO101" s="109"/>
      <c r="AP101" s="333">
        <v>101</v>
      </c>
      <c r="AQ101" s="187"/>
      <c r="AR101" s="274" t="str">
        <f t="shared" ca="1" si="76"/>
        <v>M. Febrer</v>
      </c>
      <c r="AS101" s="263"/>
      <c r="AT101" s="43"/>
      <c r="AX101" s="28"/>
      <c r="AY101" s="38"/>
    </row>
    <row r="102" spans="1:51" s="8" customFormat="1" ht="24" customHeight="1" x14ac:dyDescent="0.35">
      <c r="A102" s="11"/>
      <c r="B102" s="18"/>
      <c r="C102" s="18"/>
      <c r="D102" s="246">
        <v>31</v>
      </c>
      <c r="E102" s="22">
        <v>5031</v>
      </c>
      <c r="F102" s="247">
        <v>0.45486111111111099</v>
      </c>
      <c r="G102" s="247">
        <v>0.47777777777777802</v>
      </c>
      <c r="H102" s="376" t="str">
        <f t="shared" ca="1" si="77"/>
        <v>Juan Rigo</v>
      </c>
      <c r="I102" s="376"/>
      <c r="J102" s="377"/>
      <c r="L102" s="56"/>
      <c r="M102" s="144">
        <v>2</v>
      </c>
      <c r="N102" s="194" t="str">
        <f t="shared" ca="1" si="74"/>
        <v>Troskis</v>
      </c>
      <c r="O102" s="226">
        <f>+O100+2</f>
        <v>4522</v>
      </c>
      <c r="P102" s="201"/>
      <c r="Q102" s="134"/>
      <c r="R102" s="132"/>
      <c r="S102" s="132"/>
      <c r="T102" s="132"/>
      <c r="U102" s="132"/>
      <c r="V102" s="132"/>
      <c r="W102" s="168"/>
      <c r="X102" s="281">
        <f>+X100+"00:20"</f>
        <v>0.40416666666666673</v>
      </c>
      <c r="Y102" s="160">
        <f t="shared" si="63"/>
        <v>0.4069444444444445</v>
      </c>
      <c r="Z102" s="160">
        <f t="shared" ref="Z102:AA121" si="82">SUM(Y102+"00:03")</f>
        <v>0.40902777777777782</v>
      </c>
      <c r="AA102" s="160">
        <f t="shared" si="82"/>
        <v>0.41111111111111115</v>
      </c>
      <c r="AB102" s="160">
        <f t="shared" si="65"/>
        <v>0.41388888888888892</v>
      </c>
      <c r="AC102" s="160">
        <f t="shared" si="66"/>
        <v>0.41736111111111113</v>
      </c>
      <c r="AD102" s="160">
        <f t="shared" si="67"/>
        <v>0.41875000000000001</v>
      </c>
      <c r="AE102" s="160">
        <f t="shared" si="68"/>
        <v>0.42083333333333334</v>
      </c>
      <c r="AF102" s="160">
        <f t="shared" ref="AF102:AG121" si="83">SUM(AE102+"00:02")</f>
        <v>0.42222222222222222</v>
      </c>
      <c r="AG102" s="160">
        <f t="shared" si="83"/>
        <v>0.4236111111111111</v>
      </c>
      <c r="AH102" s="160">
        <f t="shared" ref="AH102:AK121" si="84">SUM(AG102+"00:01")</f>
        <v>0.42430555555555555</v>
      </c>
      <c r="AI102" s="161">
        <f t="shared" si="84"/>
        <v>0.42499999999999999</v>
      </c>
      <c r="AJ102" s="160">
        <f t="shared" si="84"/>
        <v>0.42569444444444443</v>
      </c>
      <c r="AK102" s="160">
        <f t="shared" si="84"/>
        <v>0.42638888888888887</v>
      </c>
      <c r="AL102" s="160">
        <f t="shared" si="71"/>
        <v>0.4284722222222222</v>
      </c>
      <c r="AM102" s="160">
        <f t="shared" si="72"/>
        <v>0.42986111111111108</v>
      </c>
      <c r="AN102" s="124">
        <f t="shared" si="73"/>
        <v>0.43055555555555552</v>
      </c>
      <c r="AO102" s="109"/>
      <c r="AP102" s="331"/>
      <c r="AQ102" s="4"/>
      <c r="AR102" s="202"/>
      <c r="AS102" s="260"/>
      <c r="AT102" s="43"/>
      <c r="AX102" s="28"/>
      <c r="AY102" s="38"/>
    </row>
    <row r="103" spans="1:51" s="8" customFormat="1" ht="24" customHeight="1" x14ac:dyDescent="0.35">
      <c r="A103" s="11"/>
      <c r="B103" s="18"/>
      <c r="C103" s="18"/>
      <c r="D103" s="248">
        <v>101</v>
      </c>
      <c r="E103" s="185">
        <v>5033</v>
      </c>
      <c r="F103" s="249">
        <v>0.468750000000001</v>
      </c>
      <c r="G103" s="249">
        <v>0.49166666666666697</v>
      </c>
      <c r="H103" s="378" t="str">
        <f t="shared" ca="1" si="77"/>
        <v>M. Febrer</v>
      </c>
      <c r="I103" s="378"/>
      <c r="J103" s="379"/>
      <c r="L103" s="56"/>
      <c r="M103" s="144">
        <v>31</v>
      </c>
      <c r="N103" s="194" t="str">
        <f t="shared" ca="1" si="74"/>
        <v>Juan Rigo</v>
      </c>
      <c r="O103" s="227">
        <f>+O99+2</f>
        <v>4712</v>
      </c>
      <c r="P103" s="198"/>
      <c r="Q103" s="125">
        <f>Q99+"00:40"</f>
        <v>0.39722222222222225</v>
      </c>
      <c r="R103" s="166">
        <f>Q103+"00:04"</f>
        <v>0.4</v>
      </c>
      <c r="S103" s="166">
        <f>R103+"00:04"</f>
        <v>0.40277777777777779</v>
      </c>
      <c r="T103" s="166">
        <f t="shared" ref="T103:V103" si="85">S103+"00:04"</f>
        <v>0.40555555555555556</v>
      </c>
      <c r="U103" s="166">
        <f>T103+"00:01"</f>
        <v>0.40625</v>
      </c>
      <c r="V103" s="166">
        <f t="shared" si="85"/>
        <v>0.40902777777777777</v>
      </c>
      <c r="W103" s="166">
        <f>V103+"00:01"</f>
        <v>0.40972222222222221</v>
      </c>
      <c r="X103" s="279">
        <f>W103+"00:02"</f>
        <v>0.41111111111111109</v>
      </c>
      <c r="Y103" s="160">
        <f t="shared" si="63"/>
        <v>0.41388888888888886</v>
      </c>
      <c r="Z103" s="160">
        <f t="shared" si="82"/>
        <v>0.41597222222222219</v>
      </c>
      <c r="AA103" s="160">
        <f t="shared" si="82"/>
        <v>0.41805555555555551</v>
      </c>
      <c r="AB103" s="160">
        <f t="shared" si="65"/>
        <v>0.42083333333333328</v>
      </c>
      <c r="AC103" s="160">
        <f t="shared" si="66"/>
        <v>0.42430555555555549</v>
      </c>
      <c r="AD103" s="160">
        <f t="shared" si="67"/>
        <v>0.42569444444444438</v>
      </c>
      <c r="AE103" s="160">
        <f t="shared" si="68"/>
        <v>0.4277777777777777</v>
      </c>
      <c r="AF103" s="160">
        <f t="shared" si="83"/>
        <v>0.42916666666666659</v>
      </c>
      <c r="AG103" s="160">
        <f t="shared" si="83"/>
        <v>0.43055555555555547</v>
      </c>
      <c r="AH103" s="160">
        <f t="shared" si="84"/>
        <v>0.43124999999999991</v>
      </c>
      <c r="AI103" s="161">
        <f t="shared" si="84"/>
        <v>0.43194444444444435</v>
      </c>
      <c r="AJ103" s="160">
        <f t="shared" si="84"/>
        <v>0.4326388888888888</v>
      </c>
      <c r="AK103" s="160">
        <f t="shared" si="84"/>
        <v>0.43333333333333324</v>
      </c>
      <c r="AL103" s="160">
        <f t="shared" si="71"/>
        <v>0.43541666666666656</v>
      </c>
      <c r="AM103" s="160">
        <f t="shared" si="72"/>
        <v>0.43680555555555545</v>
      </c>
      <c r="AN103" s="126">
        <f t="shared" si="73"/>
        <v>0.43749999999999989</v>
      </c>
      <c r="AO103" s="109"/>
      <c r="AP103" s="333">
        <v>201</v>
      </c>
      <c r="AQ103" s="187"/>
      <c r="AR103" s="274" t="str">
        <f t="shared" ca="1" si="76"/>
        <v>Pere Estrany</v>
      </c>
      <c r="AS103" s="263"/>
      <c r="AT103" s="43"/>
      <c r="AX103" s="28"/>
      <c r="AY103" s="38"/>
    </row>
    <row r="104" spans="1:51" s="8" customFormat="1" ht="24" customHeight="1" x14ac:dyDescent="0.35">
      <c r="A104" s="11"/>
      <c r="B104" s="18"/>
      <c r="C104" s="18"/>
      <c r="D104" s="246">
        <v>33</v>
      </c>
      <c r="E104" s="22">
        <v>5035</v>
      </c>
      <c r="F104" s="247">
        <v>0.48263888888889001</v>
      </c>
      <c r="G104" s="247">
        <v>0.50555555555555498</v>
      </c>
      <c r="H104" s="376" t="str">
        <f t="shared" ca="1" si="77"/>
        <v xml:space="preserve">Cati </v>
      </c>
      <c r="I104" s="376"/>
      <c r="J104" s="377"/>
      <c r="L104" s="56"/>
      <c r="M104" s="144">
        <v>32</v>
      </c>
      <c r="N104" s="194" t="str">
        <f t="shared" ca="1" si="74"/>
        <v>Calafat</v>
      </c>
      <c r="O104" s="228">
        <f>+O101+2</f>
        <v>4912</v>
      </c>
      <c r="P104" s="200">
        <f>P101+"00:40"</f>
        <v>0.40000000000000008</v>
      </c>
      <c r="Q104" s="133">
        <f>+P104+"00:12"</f>
        <v>0.40833333333333344</v>
      </c>
      <c r="R104" s="166">
        <f>+Q104+"00:05"</f>
        <v>0.41180555555555565</v>
      </c>
      <c r="S104" s="166">
        <f>+R104+"00:04"</f>
        <v>0.41458333333333341</v>
      </c>
      <c r="T104" s="166">
        <f>+S104+"00:8"</f>
        <v>0.42013888888888895</v>
      </c>
      <c r="U104" s="166">
        <f>+T104+"00:00"</f>
        <v>0.42013888888888895</v>
      </c>
      <c r="V104" s="166">
        <f>+U104+"00:04"</f>
        <v>0.42291666666666672</v>
      </c>
      <c r="W104" s="166">
        <f>+V104+"00:01"</f>
        <v>0.42361111111111116</v>
      </c>
      <c r="X104" s="279">
        <f>+W104+"00:02"</f>
        <v>0.42500000000000004</v>
      </c>
      <c r="Y104" s="160">
        <f t="shared" si="63"/>
        <v>0.42777777777777781</v>
      </c>
      <c r="Z104" s="160">
        <f t="shared" si="82"/>
        <v>0.42986111111111114</v>
      </c>
      <c r="AA104" s="160">
        <f t="shared" si="82"/>
        <v>0.43194444444444446</v>
      </c>
      <c r="AB104" s="160">
        <f t="shared" si="65"/>
        <v>0.43472222222222223</v>
      </c>
      <c r="AC104" s="160">
        <f t="shared" si="66"/>
        <v>0.43819444444444444</v>
      </c>
      <c r="AD104" s="160">
        <f t="shared" si="67"/>
        <v>0.43958333333333333</v>
      </c>
      <c r="AE104" s="160">
        <f t="shared" si="68"/>
        <v>0.44166666666666665</v>
      </c>
      <c r="AF104" s="160">
        <f t="shared" si="83"/>
        <v>0.44305555555555554</v>
      </c>
      <c r="AG104" s="160">
        <f t="shared" si="83"/>
        <v>0.44444444444444442</v>
      </c>
      <c r="AH104" s="160">
        <f t="shared" si="84"/>
        <v>0.44513888888888886</v>
      </c>
      <c r="AI104" s="161">
        <f t="shared" si="84"/>
        <v>0.4458333333333333</v>
      </c>
      <c r="AJ104" s="160">
        <f t="shared" si="84"/>
        <v>0.44652777777777775</v>
      </c>
      <c r="AK104" s="160">
        <f t="shared" si="84"/>
        <v>0.44722222222222219</v>
      </c>
      <c r="AL104" s="160">
        <f t="shared" si="71"/>
        <v>0.44930555555555551</v>
      </c>
      <c r="AM104" s="160">
        <f t="shared" si="72"/>
        <v>0.4506944444444444</v>
      </c>
      <c r="AN104" s="131">
        <f t="shared" si="73"/>
        <v>0.45138888888888884</v>
      </c>
      <c r="AO104" s="109"/>
      <c r="AP104" s="334"/>
      <c r="AR104" s="202"/>
      <c r="AS104" s="260"/>
      <c r="AT104" s="43"/>
      <c r="AX104" s="28"/>
      <c r="AY104" s="38"/>
    </row>
    <row r="105" spans="1:51" s="8" customFormat="1" ht="24" customHeight="1" x14ac:dyDescent="0.35">
      <c r="A105" s="11"/>
      <c r="B105" s="18"/>
      <c r="C105" s="18"/>
      <c r="D105" s="248">
        <v>2</v>
      </c>
      <c r="E105" s="185">
        <v>5037</v>
      </c>
      <c r="F105" s="249">
        <v>0.49652777777777901</v>
      </c>
      <c r="G105" s="249">
        <v>0.51944444444444404</v>
      </c>
      <c r="H105" s="378" t="str">
        <f t="shared" ca="1" si="77"/>
        <v>Troskis</v>
      </c>
      <c r="I105" s="378"/>
      <c r="J105" s="379"/>
      <c r="L105" s="56"/>
      <c r="M105" s="144">
        <v>4</v>
      </c>
      <c r="N105" s="194" t="str">
        <f t="shared" ca="1" si="74"/>
        <v>Ferriol</v>
      </c>
      <c r="O105" s="229">
        <f t="shared" ref="O105:O110" si="86">+O103+2</f>
        <v>4714</v>
      </c>
      <c r="P105" s="202"/>
      <c r="Q105" s="125">
        <f>Q103+"00:40"</f>
        <v>0.42500000000000004</v>
      </c>
      <c r="R105" s="166">
        <f>Q105+"00:04"</f>
        <v>0.42777777777777781</v>
      </c>
      <c r="S105" s="166">
        <f>R105+"00:04"</f>
        <v>0.43055555555555558</v>
      </c>
      <c r="T105" s="166">
        <f t="shared" ref="T105:V105" si="87">S105+"00:04"</f>
        <v>0.43333333333333335</v>
      </c>
      <c r="U105" s="166">
        <f>T105+"00:01"</f>
        <v>0.43402777777777779</v>
      </c>
      <c r="V105" s="166">
        <f t="shared" si="87"/>
        <v>0.43680555555555556</v>
      </c>
      <c r="W105" s="166">
        <f>V105+"00:01"</f>
        <v>0.4375</v>
      </c>
      <c r="X105" s="279">
        <f>W105+"00:02"</f>
        <v>0.43888888888888888</v>
      </c>
      <c r="Y105" s="160">
        <f t="shared" si="63"/>
        <v>0.44166666666666665</v>
      </c>
      <c r="Z105" s="160">
        <f t="shared" si="82"/>
        <v>0.44374999999999998</v>
      </c>
      <c r="AA105" s="160">
        <f t="shared" si="82"/>
        <v>0.4458333333333333</v>
      </c>
      <c r="AB105" s="160">
        <f t="shared" si="65"/>
        <v>0.44861111111111107</v>
      </c>
      <c r="AC105" s="160">
        <f t="shared" si="66"/>
        <v>0.45208333333333328</v>
      </c>
      <c r="AD105" s="160">
        <f t="shared" si="67"/>
        <v>0.45347222222222217</v>
      </c>
      <c r="AE105" s="160">
        <f t="shared" si="68"/>
        <v>0.45555555555555549</v>
      </c>
      <c r="AF105" s="160">
        <f t="shared" si="83"/>
        <v>0.45694444444444438</v>
      </c>
      <c r="AG105" s="160">
        <f t="shared" si="83"/>
        <v>0.45833333333333326</v>
      </c>
      <c r="AH105" s="160">
        <f t="shared" si="84"/>
        <v>0.4590277777777777</v>
      </c>
      <c r="AI105" s="161">
        <f t="shared" si="84"/>
        <v>0.45972222222222214</v>
      </c>
      <c r="AJ105" s="160">
        <f t="shared" si="84"/>
        <v>0.46041666666666659</v>
      </c>
      <c r="AK105" s="160">
        <f t="shared" si="84"/>
        <v>0.46111111111111103</v>
      </c>
      <c r="AL105" s="160">
        <f t="shared" si="71"/>
        <v>0.46319444444444435</v>
      </c>
      <c r="AM105" s="160">
        <f t="shared" si="72"/>
        <v>0.46458333333333324</v>
      </c>
      <c r="AN105" s="126">
        <f t="shared" si="73"/>
        <v>0.46527777777777768</v>
      </c>
      <c r="AO105" s="109"/>
      <c r="AP105" s="335">
        <v>9</v>
      </c>
      <c r="AQ105" s="188"/>
      <c r="AR105" s="275" t="e">
        <f t="shared" ca="1" si="76"/>
        <v>#N/A</v>
      </c>
      <c r="AS105" s="264"/>
      <c r="AT105" s="43"/>
      <c r="AX105" s="28"/>
      <c r="AY105" s="38"/>
    </row>
    <row r="106" spans="1:51" s="8" customFormat="1" ht="24" customHeight="1" x14ac:dyDescent="0.35">
      <c r="A106" s="11"/>
      <c r="B106" s="18"/>
      <c r="C106" s="18"/>
      <c r="D106" s="246">
        <v>101</v>
      </c>
      <c r="E106" s="22">
        <v>5039</v>
      </c>
      <c r="F106" s="247">
        <v>0.51041666666666796</v>
      </c>
      <c r="G106" s="247">
        <v>0.53333333333333299</v>
      </c>
      <c r="H106" s="376" t="str">
        <f t="shared" ca="1" si="77"/>
        <v>M. Febrer</v>
      </c>
      <c r="I106" s="376"/>
      <c r="J106" s="377"/>
      <c r="L106" s="56"/>
      <c r="M106" s="144">
        <v>5</v>
      </c>
      <c r="N106" s="194" t="str">
        <f t="shared" ca="1" si="74"/>
        <v>Ferrutja</v>
      </c>
      <c r="O106" s="228">
        <f t="shared" si="86"/>
        <v>4914</v>
      </c>
      <c r="P106" s="200">
        <f>P104+"00:40"</f>
        <v>0.42777777777777787</v>
      </c>
      <c r="Q106" s="133">
        <f>+P106+"00:12"</f>
        <v>0.43611111111111123</v>
      </c>
      <c r="R106" s="166">
        <f>+Q106+"00:05"</f>
        <v>0.43958333333333344</v>
      </c>
      <c r="S106" s="166">
        <f>+R106+"00:04"</f>
        <v>0.4423611111111112</v>
      </c>
      <c r="T106" s="166">
        <f>+S106+"00:8"</f>
        <v>0.44791666666666674</v>
      </c>
      <c r="U106" s="166">
        <f>+T106+"00:00"</f>
        <v>0.44791666666666674</v>
      </c>
      <c r="V106" s="166">
        <f>+U106+"00:04"</f>
        <v>0.45069444444444451</v>
      </c>
      <c r="W106" s="166">
        <f>+V106+"00:01"</f>
        <v>0.45138888888888895</v>
      </c>
      <c r="X106" s="279">
        <f>+W106+"00:02"</f>
        <v>0.45277777777777783</v>
      </c>
      <c r="Y106" s="160">
        <f t="shared" si="63"/>
        <v>0.4555555555555556</v>
      </c>
      <c r="Z106" s="160">
        <f t="shared" si="82"/>
        <v>0.45763888888888893</v>
      </c>
      <c r="AA106" s="160">
        <f t="shared" si="82"/>
        <v>0.45972222222222225</v>
      </c>
      <c r="AB106" s="160">
        <f t="shared" si="65"/>
        <v>0.46250000000000002</v>
      </c>
      <c r="AC106" s="160">
        <f t="shared" si="66"/>
        <v>0.46597222222222223</v>
      </c>
      <c r="AD106" s="160">
        <f t="shared" si="67"/>
        <v>0.46736111111111112</v>
      </c>
      <c r="AE106" s="160">
        <f t="shared" si="68"/>
        <v>0.46944444444444444</v>
      </c>
      <c r="AF106" s="160">
        <f t="shared" si="83"/>
        <v>0.47083333333333333</v>
      </c>
      <c r="AG106" s="160">
        <f t="shared" si="83"/>
        <v>0.47222222222222221</v>
      </c>
      <c r="AH106" s="160">
        <f t="shared" si="84"/>
        <v>0.47291666666666665</v>
      </c>
      <c r="AI106" s="161">
        <f t="shared" si="84"/>
        <v>0.47361111111111109</v>
      </c>
      <c r="AJ106" s="160">
        <f t="shared" si="84"/>
        <v>0.47430555555555554</v>
      </c>
      <c r="AK106" s="160">
        <f t="shared" si="84"/>
        <v>0.47499999999999998</v>
      </c>
      <c r="AL106" s="160">
        <f t="shared" si="71"/>
        <v>0.4770833333333333</v>
      </c>
      <c r="AM106" s="160">
        <f t="shared" si="72"/>
        <v>0.47847222222222219</v>
      </c>
      <c r="AN106" s="131">
        <f t="shared" si="73"/>
        <v>0.47916666666666663</v>
      </c>
      <c r="AO106" s="109"/>
      <c r="AP106" s="335">
        <v>21</v>
      </c>
      <c r="AQ106" s="188"/>
      <c r="AR106" s="275" t="e">
        <f t="shared" ca="1" si="76"/>
        <v>#N/A</v>
      </c>
      <c r="AS106" s="264"/>
      <c r="AT106" s="43"/>
      <c r="AU106" s="39"/>
      <c r="AV106" s="40"/>
      <c r="AW106" s="41"/>
      <c r="AX106" s="42"/>
      <c r="AY106" s="38"/>
    </row>
    <row r="107" spans="1:51" s="8" customFormat="1" ht="24" customHeight="1" x14ac:dyDescent="0.35">
      <c r="A107" s="11"/>
      <c r="B107" s="18"/>
      <c r="C107" s="18"/>
      <c r="D107" s="248">
        <v>5</v>
      </c>
      <c r="E107" s="185">
        <v>5041</v>
      </c>
      <c r="F107" s="249">
        <v>0.52430555555555602</v>
      </c>
      <c r="G107" s="249">
        <v>0.54722222222222205</v>
      </c>
      <c r="H107" s="378" t="str">
        <f t="shared" ca="1" si="77"/>
        <v>Ferrutja</v>
      </c>
      <c r="I107" s="378"/>
      <c r="J107" s="379"/>
      <c r="L107" s="56"/>
      <c r="M107" s="144">
        <v>153</v>
      </c>
      <c r="N107" s="194" t="str">
        <f t="shared" ca="1" si="74"/>
        <v>Atero</v>
      </c>
      <c r="O107" s="229">
        <f t="shared" si="86"/>
        <v>4716</v>
      </c>
      <c r="P107" s="202"/>
      <c r="Q107" s="125">
        <f>Q105+"00:40"</f>
        <v>0.45277777777777783</v>
      </c>
      <c r="R107" s="166">
        <f>Q107+"00:04"</f>
        <v>0.4555555555555556</v>
      </c>
      <c r="S107" s="166">
        <f>R107+"00:04"</f>
        <v>0.45833333333333337</v>
      </c>
      <c r="T107" s="166">
        <f t="shared" ref="T107:V107" si="88">S107+"00:04"</f>
        <v>0.46111111111111114</v>
      </c>
      <c r="U107" s="166">
        <f>T107+"00:01"</f>
        <v>0.46180555555555558</v>
      </c>
      <c r="V107" s="166">
        <f t="shared" si="88"/>
        <v>0.46458333333333335</v>
      </c>
      <c r="W107" s="166">
        <f>V107+"00:01"</f>
        <v>0.46527777777777779</v>
      </c>
      <c r="X107" s="279">
        <f>W107+"00:02"</f>
        <v>0.46666666666666667</v>
      </c>
      <c r="Y107" s="160">
        <f t="shared" si="63"/>
        <v>0.46944444444444444</v>
      </c>
      <c r="Z107" s="160">
        <f t="shared" si="82"/>
        <v>0.47152777777777777</v>
      </c>
      <c r="AA107" s="160">
        <f t="shared" si="82"/>
        <v>0.47361111111111109</v>
      </c>
      <c r="AB107" s="160">
        <f t="shared" si="65"/>
        <v>0.47638888888888886</v>
      </c>
      <c r="AC107" s="160">
        <f t="shared" si="66"/>
        <v>0.47986111111111107</v>
      </c>
      <c r="AD107" s="160">
        <f t="shared" si="67"/>
        <v>0.48124999999999996</v>
      </c>
      <c r="AE107" s="160">
        <f t="shared" si="68"/>
        <v>0.48333333333333328</v>
      </c>
      <c r="AF107" s="160">
        <f t="shared" si="83"/>
        <v>0.48472222222222217</v>
      </c>
      <c r="AG107" s="160">
        <f t="shared" si="83"/>
        <v>0.48611111111111105</v>
      </c>
      <c r="AH107" s="160">
        <f t="shared" si="84"/>
        <v>0.48680555555555549</v>
      </c>
      <c r="AI107" s="161">
        <f t="shared" si="84"/>
        <v>0.48749999999999993</v>
      </c>
      <c r="AJ107" s="160">
        <f t="shared" si="84"/>
        <v>0.48819444444444438</v>
      </c>
      <c r="AK107" s="160">
        <f t="shared" si="84"/>
        <v>0.48888888888888882</v>
      </c>
      <c r="AL107" s="160">
        <f t="shared" si="71"/>
        <v>0.49097222222222214</v>
      </c>
      <c r="AM107" s="160">
        <f t="shared" si="72"/>
        <v>0.49236111111111103</v>
      </c>
      <c r="AN107" s="126">
        <f t="shared" si="73"/>
        <v>0.49305555555555547</v>
      </c>
      <c r="AO107" s="109"/>
      <c r="AP107" s="334"/>
      <c r="AR107" s="202"/>
      <c r="AS107" s="260"/>
      <c r="AT107" s="43"/>
      <c r="AX107" s="28"/>
      <c r="AY107" s="38"/>
    </row>
    <row r="108" spans="1:51" s="8" customFormat="1" ht="24" customHeight="1" x14ac:dyDescent="0.45">
      <c r="A108" s="11"/>
      <c r="B108" s="18"/>
      <c r="C108" s="18"/>
      <c r="D108" s="246">
        <v>33</v>
      </c>
      <c r="E108" s="22">
        <v>5043</v>
      </c>
      <c r="F108" s="247">
        <v>0.53819444444444597</v>
      </c>
      <c r="G108" s="247">
        <v>0.56111111111111101</v>
      </c>
      <c r="H108" s="376" t="str">
        <f t="shared" ca="1" si="77"/>
        <v xml:space="preserve">Cati </v>
      </c>
      <c r="I108" s="376"/>
      <c r="J108" s="377"/>
      <c r="L108" s="56"/>
      <c r="M108" s="144">
        <v>7</v>
      </c>
      <c r="N108" s="194" t="str">
        <f t="shared" ca="1" si="74"/>
        <v>Salvador</v>
      </c>
      <c r="O108" s="228">
        <f t="shared" si="86"/>
        <v>4916</v>
      </c>
      <c r="P108" s="200">
        <f>P106+"00:40"</f>
        <v>0.45555555555555566</v>
      </c>
      <c r="Q108" s="133">
        <f>+P108+"00:12"</f>
        <v>0.46388888888888902</v>
      </c>
      <c r="R108" s="166">
        <f>+Q108+"00:05"</f>
        <v>0.46736111111111123</v>
      </c>
      <c r="S108" s="166">
        <f>+R108+"00:04"</f>
        <v>0.47013888888888899</v>
      </c>
      <c r="T108" s="166">
        <f>+S108+"00:8"</f>
        <v>0.47569444444444453</v>
      </c>
      <c r="U108" s="166">
        <f>+T108+"00:00"</f>
        <v>0.47569444444444453</v>
      </c>
      <c r="V108" s="166">
        <f>+U108+"00:04"</f>
        <v>0.4784722222222223</v>
      </c>
      <c r="W108" s="166">
        <f>+V108+"00:01"</f>
        <v>0.47916666666666674</v>
      </c>
      <c r="X108" s="279">
        <f>+W108+"00:02"</f>
        <v>0.48055555555555562</v>
      </c>
      <c r="Y108" s="160">
        <f t="shared" si="63"/>
        <v>0.48333333333333339</v>
      </c>
      <c r="Z108" s="160">
        <f t="shared" si="82"/>
        <v>0.48541666666666672</v>
      </c>
      <c r="AA108" s="160">
        <f t="shared" si="82"/>
        <v>0.48750000000000004</v>
      </c>
      <c r="AB108" s="160">
        <f t="shared" si="65"/>
        <v>0.49027777777777781</v>
      </c>
      <c r="AC108" s="160">
        <f t="shared" si="66"/>
        <v>0.49375000000000002</v>
      </c>
      <c r="AD108" s="160">
        <f t="shared" si="67"/>
        <v>0.49513888888888891</v>
      </c>
      <c r="AE108" s="160">
        <f t="shared" si="68"/>
        <v>0.49722222222222223</v>
      </c>
      <c r="AF108" s="160">
        <f t="shared" si="83"/>
        <v>0.49861111111111112</v>
      </c>
      <c r="AG108" s="160">
        <f t="shared" si="83"/>
        <v>0.5</v>
      </c>
      <c r="AH108" s="160">
        <f t="shared" si="84"/>
        <v>0.50069444444444444</v>
      </c>
      <c r="AI108" s="161">
        <f t="shared" si="84"/>
        <v>0.50138888888888888</v>
      </c>
      <c r="AJ108" s="160">
        <f t="shared" si="84"/>
        <v>0.50208333333333333</v>
      </c>
      <c r="AK108" s="160">
        <f t="shared" si="84"/>
        <v>0.50277777777777777</v>
      </c>
      <c r="AL108" s="160">
        <f t="shared" si="71"/>
        <v>0.50486111111111109</v>
      </c>
      <c r="AM108" s="160">
        <f t="shared" si="72"/>
        <v>0.50624999999999998</v>
      </c>
      <c r="AN108" s="131">
        <f t="shared" si="73"/>
        <v>0.50694444444444442</v>
      </c>
      <c r="AO108" s="109"/>
      <c r="AP108" s="331">
        <v>11</v>
      </c>
      <c r="AQ108" s="4"/>
      <c r="AR108" s="202" t="str">
        <f t="shared" ca="1" si="76"/>
        <v>Yolanda Diaz</v>
      </c>
      <c r="AS108" s="265"/>
      <c r="AT108" s="43"/>
      <c r="AX108" s="28"/>
      <c r="AY108" s="38"/>
    </row>
    <row r="109" spans="1:51" s="8" customFormat="1" ht="24" customHeight="1" x14ac:dyDescent="0.35">
      <c r="A109" s="11"/>
      <c r="B109" s="18"/>
      <c r="C109" s="18"/>
      <c r="D109" s="248">
        <v>31</v>
      </c>
      <c r="E109" s="185">
        <v>5045</v>
      </c>
      <c r="F109" s="249">
        <v>0.55208333333333504</v>
      </c>
      <c r="G109" s="249">
        <v>0.57499999999999996</v>
      </c>
      <c r="H109" s="378" t="str">
        <f t="shared" ca="1" si="77"/>
        <v>Juan Rigo</v>
      </c>
      <c r="I109" s="378"/>
      <c r="J109" s="379"/>
      <c r="L109" s="56"/>
      <c r="M109" s="144">
        <v>151</v>
      </c>
      <c r="N109" s="194" t="str">
        <f t="shared" ca="1" si="74"/>
        <v>Manu</v>
      </c>
      <c r="O109" s="229">
        <f t="shared" si="86"/>
        <v>4718</v>
      </c>
      <c r="P109" s="202"/>
      <c r="Q109" s="125">
        <f>Q107+"00:40"</f>
        <v>0.48055555555555562</v>
      </c>
      <c r="R109" s="166">
        <f>Q109+"00:04"</f>
        <v>0.48333333333333339</v>
      </c>
      <c r="S109" s="166">
        <f>R109+"00:04"</f>
        <v>0.48611111111111116</v>
      </c>
      <c r="T109" s="166">
        <f t="shared" ref="T109:V109" si="89">S109+"00:04"</f>
        <v>0.48888888888888893</v>
      </c>
      <c r="U109" s="166">
        <f>T109+"00:01"</f>
        <v>0.48958333333333337</v>
      </c>
      <c r="V109" s="166">
        <f t="shared" si="89"/>
        <v>0.49236111111111114</v>
      </c>
      <c r="W109" s="166">
        <f>V109+"00:01"</f>
        <v>0.49305555555555558</v>
      </c>
      <c r="X109" s="279">
        <f>W109+"00:02"</f>
        <v>0.49444444444444446</v>
      </c>
      <c r="Y109" s="160">
        <f t="shared" si="63"/>
        <v>0.49722222222222223</v>
      </c>
      <c r="Z109" s="160">
        <f t="shared" si="82"/>
        <v>0.49930555555555556</v>
      </c>
      <c r="AA109" s="160">
        <f t="shared" si="82"/>
        <v>0.50138888888888888</v>
      </c>
      <c r="AB109" s="160">
        <f t="shared" si="65"/>
        <v>0.50416666666666665</v>
      </c>
      <c r="AC109" s="160">
        <f t="shared" si="66"/>
        <v>0.50763888888888886</v>
      </c>
      <c r="AD109" s="160">
        <f t="shared" si="67"/>
        <v>0.50902777777777775</v>
      </c>
      <c r="AE109" s="160">
        <f t="shared" si="68"/>
        <v>0.51111111111111107</v>
      </c>
      <c r="AF109" s="160">
        <f t="shared" si="83"/>
        <v>0.51249999999999996</v>
      </c>
      <c r="AG109" s="160">
        <f t="shared" si="83"/>
        <v>0.51388888888888884</v>
      </c>
      <c r="AH109" s="160">
        <f t="shared" si="84"/>
        <v>0.51458333333333328</v>
      </c>
      <c r="AI109" s="161">
        <f t="shared" si="84"/>
        <v>0.51527777777777772</v>
      </c>
      <c r="AJ109" s="160">
        <f t="shared" si="84"/>
        <v>0.51597222222222217</v>
      </c>
      <c r="AK109" s="160">
        <f t="shared" si="84"/>
        <v>0.51666666666666661</v>
      </c>
      <c r="AL109" s="160">
        <f t="shared" si="71"/>
        <v>0.51874999999999993</v>
      </c>
      <c r="AM109" s="160">
        <f t="shared" si="72"/>
        <v>0.52013888888888882</v>
      </c>
      <c r="AN109" s="126">
        <f t="shared" si="73"/>
        <v>0.52083333333333326</v>
      </c>
      <c r="AO109" s="109"/>
      <c r="AP109" s="331">
        <v>12</v>
      </c>
      <c r="AQ109" s="4"/>
      <c r="AR109" s="202" t="str">
        <f t="shared" ca="1" si="76"/>
        <v>Iniesta</v>
      </c>
      <c r="AS109" s="260"/>
      <c r="AT109" s="43"/>
      <c r="AX109" s="28"/>
      <c r="AY109" s="38"/>
    </row>
    <row r="110" spans="1:51" s="8" customFormat="1" ht="24" customHeight="1" x14ac:dyDescent="0.35">
      <c r="A110" s="11"/>
      <c r="B110" s="18"/>
      <c r="C110" s="18"/>
      <c r="D110" s="246">
        <v>33</v>
      </c>
      <c r="E110" s="22">
        <v>5047</v>
      </c>
      <c r="F110" s="247">
        <v>0.56597222222222399</v>
      </c>
      <c r="G110" s="247">
        <v>0.58888888888888902</v>
      </c>
      <c r="H110" s="376" t="str">
        <f t="shared" ca="1" si="77"/>
        <v xml:space="preserve">Cati </v>
      </c>
      <c r="I110" s="376"/>
      <c r="J110" s="377"/>
      <c r="L110" s="56"/>
      <c r="M110" s="144">
        <v>8</v>
      </c>
      <c r="N110" s="194" t="str">
        <f t="shared" ca="1" si="74"/>
        <v xml:space="preserve">Mayol </v>
      </c>
      <c r="O110" s="228">
        <f t="shared" si="86"/>
        <v>4918</v>
      </c>
      <c r="P110" s="200">
        <f>P108+"00:41"</f>
        <v>0.48402777777777789</v>
      </c>
      <c r="Q110" s="130">
        <f>+P110+"00:10"</f>
        <v>0.49097222222222231</v>
      </c>
      <c r="R110" s="166">
        <f>+Q110+"00:05"</f>
        <v>0.49444444444444452</v>
      </c>
      <c r="S110" s="166">
        <f>+R110+"00:06"</f>
        <v>0.49861111111111117</v>
      </c>
      <c r="T110" s="166">
        <f>+S110+"00:8"</f>
        <v>0.50416666666666676</v>
      </c>
      <c r="U110" s="166">
        <f>+T110+"00:00"</f>
        <v>0.50416666666666676</v>
      </c>
      <c r="V110" s="166">
        <f>+U110+"00:04"</f>
        <v>0.50694444444444453</v>
      </c>
      <c r="W110" s="166">
        <f>+V110+"00:01"</f>
        <v>0.50763888888888897</v>
      </c>
      <c r="X110" s="279">
        <f>+W110+"00:02"</f>
        <v>0.50902777777777786</v>
      </c>
      <c r="Y110" s="160">
        <f t="shared" si="63"/>
        <v>0.51180555555555562</v>
      </c>
      <c r="Z110" s="160">
        <f t="shared" si="82"/>
        <v>0.51388888888888895</v>
      </c>
      <c r="AA110" s="160">
        <f t="shared" si="82"/>
        <v>0.51597222222222228</v>
      </c>
      <c r="AB110" s="160">
        <f t="shared" si="65"/>
        <v>0.51875000000000004</v>
      </c>
      <c r="AC110" s="160">
        <f t="shared" si="66"/>
        <v>0.52222222222222225</v>
      </c>
      <c r="AD110" s="160">
        <f t="shared" si="67"/>
        <v>0.52361111111111114</v>
      </c>
      <c r="AE110" s="160">
        <f t="shared" si="68"/>
        <v>0.52569444444444446</v>
      </c>
      <c r="AF110" s="160">
        <f t="shared" si="83"/>
        <v>0.52708333333333335</v>
      </c>
      <c r="AG110" s="160">
        <f t="shared" si="83"/>
        <v>0.52847222222222223</v>
      </c>
      <c r="AH110" s="160">
        <f t="shared" si="84"/>
        <v>0.52916666666666667</v>
      </c>
      <c r="AI110" s="161">
        <f t="shared" si="84"/>
        <v>0.52986111111111112</v>
      </c>
      <c r="AJ110" s="160">
        <f t="shared" si="84"/>
        <v>0.53055555555555556</v>
      </c>
      <c r="AK110" s="160">
        <f t="shared" si="84"/>
        <v>0.53125</v>
      </c>
      <c r="AL110" s="160">
        <f t="shared" si="71"/>
        <v>0.53333333333333333</v>
      </c>
      <c r="AM110" s="160">
        <f t="shared" si="72"/>
        <v>0.53472222222222221</v>
      </c>
      <c r="AN110" s="131">
        <f t="shared" si="73"/>
        <v>0.53541666666666665</v>
      </c>
      <c r="AO110" s="109"/>
      <c r="AP110" s="331">
        <v>13</v>
      </c>
      <c r="AQ110" s="4"/>
      <c r="AR110" s="202" t="str">
        <f t="shared" ca="1" si="76"/>
        <v>Florit</v>
      </c>
      <c r="AS110" s="260"/>
      <c r="AT110" s="43"/>
      <c r="AU110" s="115"/>
      <c r="AV110" s="115"/>
      <c r="AW110" s="113"/>
      <c r="AX110" s="28"/>
      <c r="AY110" s="38"/>
    </row>
    <row r="111" spans="1:51" s="8" customFormat="1" ht="24" customHeight="1" x14ac:dyDescent="0.35">
      <c r="A111" s="11"/>
      <c r="B111" s="18"/>
      <c r="C111" s="18"/>
      <c r="D111" s="248">
        <v>157</v>
      </c>
      <c r="E111" s="185">
        <v>5049</v>
      </c>
      <c r="F111" s="249">
        <v>0.57638888888888884</v>
      </c>
      <c r="G111" s="249">
        <v>0.59930555555555554</v>
      </c>
      <c r="H111" s="378" t="str">
        <f t="shared" ca="1" si="77"/>
        <v xml:space="preserve">T. Martinez </v>
      </c>
      <c r="I111" s="378"/>
      <c r="J111" s="379"/>
      <c r="L111" s="56"/>
      <c r="M111" s="144">
        <v>3</v>
      </c>
      <c r="N111" s="194" t="str">
        <f t="shared" ca="1" si="74"/>
        <v xml:space="preserve">Eugenio </v>
      </c>
      <c r="O111" s="226">
        <f>+O102+2</f>
        <v>4524</v>
      </c>
      <c r="P111" s="201"/>
      <c r="Q111" s="136"/>
      <c r="R111" s="167"/>
      <c r="S111" s="167"/>
      <c r="T111" s="167"/>
      <c r="U111" s="167"/>
      <c r="V111" s="167"/>
      <c r="W111" s="175"/>
      <c r="X111" s="280">
        <v>0.52222222222222225</v>
      </c>
      <c r="Y111" s="162">
        <f t="shared" si="63"/>
        <v>0.52500000000000002</v>
      </c>
      <c r="Z111" s="162">
        <f t="shared" si="82"/>
        <v>0.52708333333333335</v>
      </c>
      <c r="AA111" s="162">
        <f t="shared" si="82"/>
        <v>0.52916666666666667</v>
      </c>
      <c r="AB111" s="162">
        <f t="shared" ref="AB111" si="90">SUM(AA111+"00:04")</f>
        <v>0.53194444444444444</v>
      </c>
      <c r="AC111" s="162">
        <f t="shared" si="66"/>
        <v>0.53541666666666665</v>
      </c>
      <c r="AD111" s="162">
        <f t="shared" si="67"/>
        <v>0.53680555555555554</v>
      </c>
      <c r="AE111" s="162">
        <f t="shared" si="68"/>
        <v>0.53888888888888886</v>
      </c>
      <c r="AF111" s="162">
        <f t="shared" si="83"/>
        <v>0.54027777777777775</v>
      </c>
      <c r="AG111" s="162">
        <f t="shared" si="83"/>
        <v>0.54166666666666663</v>
      </c>
      <c r="AH111" s="162">
        <f t="shared" si="84"/>
        <v>0.54236111111111107</v>
      </c>
      <c r="AI111" s="163">
        <f t="shared" si="84"/>
        <v>0.54305555555555551</v>
      </c>
      <c r="AJ111" s="162">
        <f t="shared" si="84"/>
        <v>0.54374999999999996</v>
      </c>
      <c r="AK111" s="162">
        <f t="shared" si="84"/>
        <v>0.5444444444444444</v>
      </c>
      <c r="AL111" s="162">
        <f t="shared" si="71"/>
        <v>0.54652777777777772</v>
      </c>
      <c r="AM111" s="162">
        <f t="shared" si="72"/>
        <v>0.54791666666666661</v>
      </c>
      <c r="AN111" s="129">
        <f t="shared" si="73"/>
        <v>0.54861111111111105</v>
      </c>
      <c r="AO111" s="109"/>
      <c r="AP111" s="331">
        <v>14</v>
      </c>
      <c r="AQ111" s="4"/>
      <c r="AR111" s="202" t="e">
        <f t="shared" ca="1" si="76"/>
        <v>#N/A</v>
      </c>
      <c r="AS111" s="260"/>
      <c r="AT111" s="43"/>
      <c r="AX111" s="28"/>
      <c r="AY111" s="38"/>
    </row>
    <row r="112" spans="1:51" s="8" customFormat="1" ht="24" customHeight="1" x14ac:dyDescent="0.35">
      <c r="A112" s="11"/>
      <c r="B112" s="18"/>
      <c r="C112" s="18"/>
      <c r="D112" s="250">
        <v>2</v>
      </c>
      <c r="E112" s="22">
        <v>5051</v>
      </c>
      <c r="F112" s="251">
        <v>0.58333333333333337</v>
      </c>
      <c r="G112" s="251">
        <v>0.60624999999999996</v>
      </c>
      <c r="H112" s="376" t="str">
        <f t="shared" ca="1" si="77"/>
        <v>Troskis</v>
      </c>
      <c r="I112" s="376"/>
      <c r="J112" s="377"/>
      <c r="L112" s="56"/>
      <c r="M112" s="144">
        <v>1</v>
      </c>
      <c r="N112" s="194" t="str">
        <f t="shared" ca="1" si="74"/>
        <v>Mika</v>
      </c>
      <c r="O112" s="227">
        <f>+O109+2</f>
        <v>4720</v>
      </c>
      <c r="P112" s="203"/>
      <c r="Q112" s="125">
        <f>Q109+"01:00"</f>
        <v>0.52222222222222225</v>
      </c>
      <c r="R112" s="166">
        <f>Q112+"00:04"</f>
        <v>0.52500000000000002</v>
      </c>
      <c r="S112" s="166">
        <f>R112+"00:04"</f>
        <v>0.52777777777777779</v>
      </c>
      <c r="T112" s="166">
        <f t="shared" ref="T112:V112" si="91">S112+"00:04"</f>
        <v>0.53055555555555556</v>
      </c>
      <c r="U112" s="166">
        <f>T112+"00:01"</f>
        <v>0.53125</v>
      </c>
      <c r="V112" s="166">
        <f t="shared" si="91"/>
        <v>0.53402777777777777</v>
      </c>
      <c r="W112" s="166">
        <f>V112+"00:01"</f>
        <v>0.53472222222222221</v>
      </c>
      <c r="X112" s="279">
        <f>W112+"00:02"</f>
        <v>0.53611111111111109</v>
      </c>
      <c r="Y112" s="160">
        <f t="shared" si="63"/>
        <v>0.53888888888888886</v>
      </c>
      <c r="Z112" s="160">
        <f t="shared" si="82"/>
        <v>0.54097222222222219</v>
      </c>
      <c r="AA112" s="160">
        <f t="shared" si="82"/>
        <v>0.54305555555555551</v>
      </c>
      <c r="AB112" s="160">
        <f t="shared" si="65"/>
        <v>0.54583333333333328</v>
      </c>
      <c r="AC112" s="160">
        <f t="shared" si="66"/>
        <v>0.54930555555555549</v>
      </c>
      <c r="AD112" s="160">
        <f t="shared" si="67"/>
        <v>0.55069444444444438</v>
      </c>
      <c r="AE112" s="160">
        <f t="shared" si="68"/>
        <v>0.5527777777777777</v>
      </c>
      <c r="AF112" s="160">
        <f t="shared" si="83"/>
        <v>0.55416666666666659</v>
      </c>
      <c r="AG112" s="160">
        <f t="shared" si="83"/>
        <v>0.55555555555555547</v>
      </c>
      <c r="AH112" s="160">
        <f t="shared" si="84"/>
        <v>0.55624999999999991</v>
      </c>
      <c r="AI112" s="161">
        <f t="shared" si="84"/>
        <v>0.55694444444444435</v>
      </c>
      <c r="AJ112" s="160">
        <f t="shared" si="84"/>
        <v>0.5576388888888888</v>
      </c>
      <c r="AK112" s="160">
        <f t="shared" si="84"/>
        <v>0.55833333333333324</v>
      </c>
      <c r="AL112" s="160">
        <f t="shared" si="71"/>
        <v>0.56041666666666656</v>
      </c>
      <c r="AM112" s="160">
        <f t="shared" si="72"/>
        <v>0.56180555555555545</v>
      </c>
      <c r="AN112" s="126">
        <f t="shared" si="73"/>
        <v>0.56249999999999989</v>
      </c>
      <c r="AO112" s="109"/>
      <c r="AP112" s="331">
        <v>15</v>
      </c>
      <c r="AQ112" s="4"/>
      <c r="AR112" s="202" t="str">
        <f t="shared" ca="1" si="76"/>
        <v>Tomeu Moya</v>
      </c>
      <c r="AS112" s="260"/>
      <c r="AT112" s="43"/>
      <c r="AX112" s="28"/>
      <c r="AY112" s="38"/>
    </row>
    <row r="113" spans="1:51" s="8" customFormat="1" ht="24" customHeight="1" x14ac:dyDescent="0.35">
      <c r="A113" s="11"/>
      <c r="B113" s="18"/>
      <c r="C113" s="18"/>
      <c r="D113" s="248">
        <v>1</v>
      </c>
      <c r="E113" s="185">
        <v>5053</v>
      </c>
      <c r="F113" s="249">
        <v>0.593750000000002</v>
      </c>
      <c r="G113" s="249">
        <v>0.61666666666666703</v>
      </c>
      <c r="H113" s="378" t="str">
        <f t="shared" ca="1" si="77"/>
        <v>Mika</v>
      </c>
      <c r="I113" s="378"/>
      <c r="J113" s="379"/>
      <c r="L113" s="56"/>
      <c r="M113" s="144">
        <v>154</v>
      </c>
      <c r="N113" s="194" t="e">
        <f t="shared" ca="1" si="74"/>
        <v>#N/A</v>
      </c>
      <c r="O113" s="228">
        <f>+O110+2</f>
        <v>4920</v>
      </c>
      <c r="P113" s="204">
        <f>P110+"01:00"</f>
        <v>0.52569444444444458</v>
      </c>
      <c r="Q113" s="130">
        <f>+P113+"00:10"</f>
        <v>0.53263888888888899</v>
      </c>
      <c r="R113" s="166">
        <f>+Q113+"00:05"</f>
        <v>0.5361111111111112</v>
      </c>
      <c r="S113" s="166">
        <f>+R113+"00:06"</f>
        <v>0.54027777777777786</v>
      </c>
      <c r="T113" s="166">
        <f>+S113+"00:8"</f>
        <v>0.54583333333333339</v>
      </c>
      <c r="U113" s="166">
        <f>+T113+"00:00"</f>
        <v>0.54583333333333339</v>
      </c>
      <c r="V113" s="166">
        <f>+U113+"00:04"</f>
        <v>0.54861111111111116</v>
      </c>
      <c r="W113" s="166">
        <f>+V113+"00:01"</f>
        <v>0.5493055555555556</v>
      </c>
      <c r="X113" s="279">
        <f>+W113+"00:02"</f>
        <v>0.55069444444444449</v>
      </c>
      <c r="Y113" s="160">
        <f t="shared" si="63"/>
        <v>0.55347222222222225</v>
      </c>
      <c r="Z113" s="160">
        <f t="shared" si="82"/>
        <v>0.55555555555555558</v>
      </c>
      <c r="AA113" s="160">
        <f t="shared" si="82"/>
        <v>0.55763888888888891</v>
      </c>
      <c r="AB113" s="160">
        <f t="shared" ref="AB113" si="92">SUM(AA113+"00:04")</f>
        <v>0.56041666666666667</v>
      </c>
      <c r="AC113" s="160">
        <f t="shared" si="66"/>
        <v>0.56388888888888888</v>
      </c>
      <c r="AD113" s="160">
        <f t="shared" si="67"/>
        <v>0.56527777777777777</v>
      </c>
      <c r="AE113" s="160">
        <f t="shared" si="68"/>
        <v>0.56736111111111109</v>
      </c>
      <c r="AF113" s="160">
        <f t="shared" si="83"/>
        <v>0.56874999999999998</v>
      </c>
      <c r="AG113" s="160">
        <f t="shared" si="83"/>
        <v>0.57013888888888886</v>
      </c>
      <c r="AH113" s="160">
        <f t="shared" si="84"/>
        <v>0.5708333333333333</v>
      </c>
      <c r="AI113" s="161">
        <f t="shared" si="84"/>
        <v>0.57152777777777775</v>
      </c>
      <c r="AJ113" s="160">
        <f t="shared" si="84"/>
        <v>0.57222222222222219</v>
      </c>
      <c r="AK113" s="160">
        <f t="shared" si="84"/>
        <v>0.57291666666666663</v>
      </c>
      <c r="AL113" s="160">
        <f t="shared" si="71"/>
        <v>0.57499999999999996</v>
      </c>
      <c r="AM113" s="160">
        <f t="shared" si="72"/>
        <v>0.57638888888888884</v>
      </c>
      <c r="AN113" s="131">
        <f t="shared" si="73"/>
        <v>0.57708333333333328</v>
      </c>
      <c r="AO113" s="109"/>
      <c r="AP113" s="331">
        <v>16</v>
      </c>
      <c r="AQ113" s="4"/>
      <c r="AR113" s="202" t="str">
        <f t="shared" ca="1" si="76"/>
        <v>Koala</v>
      </c>
      <c r="AS113" s="260"/>
      <c r="AT113" s="43"/>
      <c r="AX113" s="28"/>
      <c r="AY113" s="38"/>
    </row>
    <row r="114" spans="1:51" s="8" customFormat="1" ht="24" customHeight="1" x14ac:dyDescent="0.35">
      <c r="A114" s="11"/>
      <c r="B114" s="18"/>
      <c r="C114" s="18"/>
      <c r="D114" s="246">
        <v>34</v>
      </c>
      <c r="E114" s="22">
        <v>5055</v>
      </c>
      <c r="F114" s="247">
        <v>0.60763888888889095</v>
      </c>
      <c r="G114" s="247">
        <v>0.63055555555555498</v>
      </c>
      <c r="H114" s="376" t="str">
        <f t="shared" ca="1" si="77"/>
        <v>Miki</v>
      </c>
      <c r="I114" s="376"/>
      <c r="J114" s="377"/>
      <c r="L114" s="56"/>
      <c r="M114" s="144">
        <v>32</v>
      </c>
      <c r="N114" s="194" t="str">
        <f t="shared" ca="1" si="74"/>
        <v>Calafat</v>
      </c>
      <c r="O114" s="226">
        <f>+O111+2</f>
        <v>4526</v>
      </c>
      <c r="P114" s="201"/>
      <c r="Q114" s="136"/>
      <c r="R114" s="132"/>
      <c r="S114" s="167"/>
      <c r="T114" s="132"/>
      <c r="U114" s="132"/>
      <c r="V114" s="132"/>
      <c r="W114" s="168"/>
      <c r="X114" s="281">
        <f>+X111+"01:00"</f>
        <v>0.56388888888888888</v>
      </c>
      <c r="Y114" s="160">
        <f t="shared" ref="Y114:Y145" si="93">SUM(X114+"00:04")</f>
        <v>0.56666666666666665</v>
      </c>
      <c r="Z114" s="160">
        <f t="shared" si="82"/>
        <v>0.56874999999999998</v>
      </c>
      <c r="AA114" s="160">
        <f t="shared" si="82"/>
        <v>0.5708333333333333</v>
      </c>
      <c r="AB114" s="160">
        <f t="shared" ref="AB114:AB115" si="94">SUM(AA114+"00:04")</f>
        <v>0.57361111111111107</v>
      </c>
      <c r="AC114" s="160">
        <f t="shared" ref="AC114:AC145" si="95">SUM(AB114+"00:05")</f>
        <v>0.57708333333333328</v>
      </c>
      <c r="AD114" s="160">
        <f t="shared" ref="AD114:AD145" si="96">SUM(AC114+"00:02")</f>
        <v>0.57847222222222217</v>
      </c>
      <c r="AE114" s="160">
        <f t="shared" ref="AE114:AE145" si="97">SUM(AD114+"00:03")</f>
        <v>0.58055555555555549</v>
      </c>
      <c r="AF114" s="160">
        <f t="shared" si="83"/>
        <v>0.58194444444444438</v>
      </c>
      <c r="AG114" s="160">
        <f t="shared" si="83"/>
        <v>0.58333333333333326</v>
      </c>
      <c r="AH114" s="160">
        <f t="shared" si="84"/>
        <v>0.5840277777777777</v>
      </c>
      <c r="AI114" s="161">
        <f t="shared" si="84"/>
        <v>0.58472222222222214</v>
      </c>
      <c r="AJ114" s="160">
        <f t="shared" si="84"/>
        <v>0.58541666666666659</v>
      </c>
      <c r="AK114" s="160">
        <f t="shared" si="84"/>
        <v>0.58611111111111103</v>
      </c>
      <c r="AL114" s="160">
        <f t="shared" ref="AL114:AL145" si="98">SUM(AK114+"00:03")</f>
        <v>0.58819444444444435</v>
      </c>
      <c r="AM114" s="160">
        <f t="shared" ref="AM114:AM145" si="99">SUM(AL114+"00:02")</f>
        <v>0.58958333333333324</v>
      </c>
      <c r="AN114" s="124">
        <f t="shared" ref="AN114:AN145" si="100">SUM(AM114+"00:01")</f>
        <v>0.59027777777777768</v>
      </c>
      <c r="AO114" s="109"/>
      <c r="AP114" s="331">
        <v>17</v>
      </c>
      <c r="AQ114" s="4"/>
      <c r="AR114" s="202" t="str">
        <f t="shared" ca="1" si="76"/>
        <v xml:space="preserve">Lucio </v>
      </c>
      <c r="AS114" s="260"/>
      <c r="AT114" s="43"/>
      <c r="AX114" s="28"/>
      <c r="AY114" s="38"/>
    </row>
    <row r="115" spans="1:51" s="8" customFormat="1" ht="24" customHeight="1" x14ac:dyDescent="0.35">
      <c r="A115" s="11"/>
      <c r="B115" s="18"/>
      <c r="C115" s="18"/>
      <c r="D115" s="248">
        <v>157</v>
      </c>
      <c r="E115" s="185">
        <v>5057</v>
      </c>
      <c r="F115" s="249">
        <v>0.62152777777777901</v>
      </c>
      <c r="G115" s="249">
        <v>0.64444444444444404</v>
      </c>
      <c r="H115" s="378" t="str">
        <f t="shared" ca="1" si="77"/>
        <v xml:space="preserve">T. Martinez </v>
      </c>
      <c r="I115" s="378"/>
      <c r="J115" s="379"/>
      <c r="L115" s="56"/>
      <c r="M115" s="145">
        <v>4</v>
      </c>
      <c r="N115" s="194" t="str">
        <f t="shared" ca="1" si="74"/>
        <v>Ferriol</v>
      </c>
      <c r="O115" s="227">
        <f>+O112+2</f>
        <v>4722</v>
      </c>
      <c r="P115" s="198"/>
      <c r="Q115" s="125">
        <f>Q112+"01:00"</f>
        <v>0.56388888888888888</v>
      </c>
      <c r="R115" s="166">
        <f>Q115+"00:04"</f>
        <v>0.56666666666666665</v>
      </c>
      <c r="S115" s="166">
        <f>R115+"00:04"</f>
        <v>0.56944444444444442</v>
      </c>
      <c r="T115" s="166">
        <f t="shared" ref="T115:V115" si="101">S115+"00:04"</f>
        <v>0.57222222222222219</v>
      </c>
      <c r="U115" s="166">
        <f>T115+"00:01"</f>
        <v>0.57291666666666663</v>
      </c>
      <c r="V115" s="166">
        <f t="shared" si="101"/>
        <v>0.5756944444444444</v>
      </c>
      <c r="W115" s="166">
        <f>V115+"00:01"</f>
        <v>0.57638888888888884</v>
      </c>
      <c r="X115" s="279">
        <f>W115+"00:02"</f>
        <v>0.57777777777777772</v>
      </c>
      <c r="Y115" s="160">
        <f t="shared" si="93"/>
        <v>0.58055555555555549</v>
      </c>
      <c r="Z115" s="160">
        <f t="shared" si="82"/>
        <v>0.58263888888888882</v>
      </c>
      <c r="AA115" s="160">
        <f t="shared" si="82"/>
        <v>0.58472222222222214</v>
      </c>
      <c r="AB115" s="160">
        <f t="shared" si="94"/>
        <v>0.58749999999999991</v>
      </c>
      <c r="AC115" s="160">
        <f t="shared" si="95"/>
        <v>0.59097222222222212</v>
      </c>
      <c r="AD115" s="160">
        <f t="shared" si="96"/>
        <v>0.59236111111111101</v>
      </c>
      <c r="AE115" s="160">
        <f t="shared" si="97"/>
        <v>0.59444444444444433</v>
      </c>
      <c r="AF115" s="160">
        <f t="shared" si="83"/>
        <v>0.59583333333333321</v>
      </c>
      <c r="AG115" s="160">
        <f t="shared" si="83"/>
        <v>0.5972222222222221</v>
      </c>
      <c r="AH115" s="160">
        <f t="shared" si="84"/>
        <v>0.59791666666666654</v>
      </c>
      <c r="AI115" s="161">
        <f t="shared" si="84"/>
        <v>0.59861111111111098</v>
      </c>
      <c r="AJ115" s="160">
        <f t="shared" si="84"/>
        <v>0.59930555555555542</v>
      </c>
      <c r="AK115" s="160">
        <f t="shared" si="84"/>
        <v>0.59999999999999987</v>
      </c>
      <c r="AL115" s="160">
        <f t="shared" si="98"/>
        <v>0.60208333333333319</v>
      </c>
      <c r="AM115" s="160">
        <f t="shared" si="99"/>
        <v>0.60347222222222208</v>
      </c>
      <c r="AN115" s="126">
        <f t="shared" si="100"/>
        <v>0.60416666666666652</v>
      </c>
      <c r="AO115" s="109"/>
      <c r="AP115" s="331">
        <v>18</v>
      </c>
      <c r="AQ115" s="4"/>
      <c r="AR115" s="202" t="str">
        <f t="shared" ca="1" si="76"/>
        <v>Rigo</v>
      </c>
      <c r="AS115" s="260"/>
      <c r="AT115" s="43"/>
      <c r="AX115" s="28"/>
      <c r="AY115" s="38"/>
    </row>
    <row r="116" spans="1:51" s="8" customFormat="1" ht="24" customHeight="1" x14ac:dyDescent="0.35">
      <c r="A116" s="11"/>
      <c r="B116" s="18"/>
      <c r="C116" s="18"/>
      <c r="D116" s="246">
        <v>155</v>
      </c>
      <c r="E116" s="22">
        <v>5059</v>
      </c>
      <c r="F116" s="247">
        <v>0.63541666666666896</v>
      </c>
      <c r="G116" s="247">
        <v>0.65833333333333299</v>
      </c>
      <c r="H116" s="376" t="str">
        <f t="shared" ca="1" si="77"/>
        <v>Jaime Sastre</v>
      </c>
      <c r="I116" s="376"/>
      <c r="J116" s="377"/>
      <c r="L116" s="47"/>
      <c r="M116" s="146">
        <v>152</v>
      </c>
      <c r="N116" s="194" t="str">
        <f t="shared" ca="1" si="74"/>
        <v>Felipe</v>
      </c>
      <c r="O116" s="226">
        <f>+O114+2</f>
        <v>4528</v>
      </c>
      <c r="P116" s="199"/>
      <c r="Q116" s="136"/>
      <c r="R116" s="128"/>
      <c r="S116" s="132"/>
      <c r="T116" s="128"/>
      <c r="U116" s="128"/>
      <c r="V116" s="128"/>
      <c r="W116" s="166"/>
      <c r="X116" s="280">
        <f>+X114+"00:30"</f>
        <v>0.58472222222222225</v>
      </c>
      <c r="Y116" s="162">
        <f t="shared" si="93"/>
        <v>0.58750000000000002</v>
      </c>
      <c r="Z116" s="162">
        <f t="shared" si="82"/>
        <v>0.58958333333333335</v>
      </c>
      <c r="AA116" s="162">
        <f t="shared" si="82"/>
        <v>0.59166666666666667</v>
      </c>
      <c r="AB116" s="162">
        <f t="shared" ref="AB116:AB117" si="102">SUM(AA116+"00:04")</f>
        <v>0.59444444444444444</v>
      </c>
      <c r="AC116" s="162">
        <f t="shared" si="95"/>
        <v>0.59791666666666665</v>
      </c>
      <c r="AD116" s="162">
        <f t="shared" si="96"/>
        <v>0.59930555555555554</v>
      </c>
      <c r="AE116" s="162">
        <f t="shared" si="97"/>
        <v>0.60138888888888886</v>
      </c>
      <c r="AF116" s="162">
        <f t="shared" si="83"/>
        <v>0.60277777777777775</v>
      </c>
      <c r="AG116" s="162">
        <f t="shared" si="83"/>
        <v>0.60416666666666663</v>
      </c>
      <c r="AH116" s="162">
        <f t="shared" si="84"/>
        <v>0.60486111111111107</v>
      </c>
      <c r="AI116" s="163">
        <f t="shared" si="84"/>
        <v>0.60555555555555551</v>
      </c>
      <c r="AJ116" s="162">
        <f t="shared" si="84"/>
        <v>0.60624999999999996</v>
      </c>
      <c r="AK116" s="162">
        <f t="shared" si="84"/>
        <v>0.6069444444444444</v>
      </c>
      <c r="AL116" s="162">
        <f t="shared" si="98"/>
        <v>0.60902777777777772</v>
      </c>
      <c r="AM116" s="162">
        <f t="shared" si="99"/>
        <v>0.61041666666666661</v>
      </c>
      <c r="AN116" s="129">
        <f t="shared" si="100"/>
        <v>0.61111111111111105</v>
      </c>
      <c r="AO116" s="109"/>
      <c r="AP116" s="332">
        <v>19</v>
      </c>
      <c r="AQ116" s="189"/>
      <c r="AR116" s="202" t="str">
        <f t="shared" ca="1" si="76"/>
        <v xml:space="preserve">Campos </v>
      </c>
      <c r="AS116" s="260"/>
      <c r="AT116" s="43"/>
      <c r="AX116" s="28"/>
      <c r="AY116" s="38"/>
    </row>
    <row r="117" spans="1:51" s="8" customFormat="1" ht="24" customHeight="1" x14ac:dyDescent="0.35">
      <c r="A117" s="11"/>
      <c r="B117" s="18"/>
      <c r="C117" s="18"/>
      <c r="D117" s="248">
        <v>157</v>
      </c>
      <c r="E117" s="185">
        <v>5061</v>
      </c>
      <c r="F117" s="249">
        <v>0.64930555555555802</v>
      </c>
      <c r="G117" s="249">
        <v>0.67222222222222205</v>
      </c>
      <c r="H117" s="378" t="str">
        <f t="shared" ca="1" si="77"/>
        <v xml:space="preserve">T. Martinez </v>
      </c>
      <c r="I117" s="378"/>
      <c r="J117" s="379"/>
      <c r="L117" s="57"/>
      <c r="M117" s="144">
        <v>201</v>
      </c>
      <c r="N117" s="194" t="str">
        <f t="shared" ca="1" si="74"/>
        <v>Pere Estrany</v>
      </c>
      <c r="O117" s="228">
        <f>+O113+2</f>
        <v>4922</v>
      </c>
      <c r="P117" s="205">
        <f>P113+"01:00"</f>
        <v>0.5673611111111112</v>
      </c>
      <c r="Q117" s="137">
        <f>+P117+"00:10"</f>
        <v>0.57430555555555562</v>
      </c>
      <c r="R117" s="168">
        <f>+Q117+"00:05"</f>
        <v>0.57777777777777783</v>
      </c>
      <c r="S117" s="168">
        <f>+R117+"00:06"</f>
        <v>0.58194444444444449</v>
      </c>
      <c r="T117" s="168">
        <f>+S117+"00:8"</f>
        <v>0.58750000000000002</v>
      </c>
      <c r="U117" s="168">
        <f>+T117+"00:00"</f>
        <v>0.58750000000000002</v>
      </c>
      <c r="V117" s="168">
        <f>+U117+"00:04"</f>
        <v>0.59027777777777779</v>
      </c>
      <c r="W117" s="168">
        <f>+V117+"00:01"</f>
        <v>0.59097222222222223</v>
      </c>
      <c r="X117" s="279">
        <f>+W117+"00:02"</f>
        <v>0.59236111111111112</v>
      </c>
      <c r="Y117" s="160">
        <f t="shared" si="93"/>
        <v>0.59513888888888888</v>
      </c>
      <c r="Z117" s="160">
        <f t="shared" si="82"/>
        <v>0.59722222222222221</v>
      </c>
      <c r="AA117" s="160">
        <f t="shared" si="82"/>
        <v>0.59930555555555554</v>
      </c>
      <c r="AB117" s="160">
        <f t="shared" si="102"/>
        <v>0.6020833333333333</v>
      </c>
      <c r="AC117" s="160">
        <f t="shared" si="95"/>
        <v>0.60555555555555551</v>
      </c>
      <c r="AD117" s="160">
        <f t="shared" si="96"/>
        <v>0.6069444444444444</v>
      </c>
      <c r="AE117" s="160">
        <f t="shared" si="97"/>
        <v>0.60902777777777772</v>
      </c>
      <c r="AF117" s="160">
        <f t="shared" si="83"/>
        <v>0.61041666666666661</v>
      </c>
      <c r="AG117" s="160">
        <f t="shared" si="83"/>
        <v>0.61180555555555549</v>
      </c>
      <c r="AH117" s="160">
        <f t="shared" si="84"/>
        <v>0.61249999999999993</v>
      </c>
      <c r="AI117" s="161">
        <f t="shared" si="84"/>
        <v>0.61319444444444438</v>
      </c>
      <c r="AJ117" s="160">
        <f t="shared" si="84"/>
        <v>0.61388888888888882</v>
      </c>
      <c r="AK117" s="160">
        <f t="shared" si="84"/>
        <v>0.61458333333333326</v>
      </c>
      <c r="AL117" s="160">
        <f t="shared" si="98"/>
        <v>0.61666666666666659</v>
      </c>
      <c r="AM117" s="160">
        <f t="shared" si="99"/>
        <v>0.61805555555555547</v>
      </c>
      <c r="AN117" s="131">
        <f t="shared" si="100"/>
        <v>0.61874999999999991</v>
      </c>
      <c r="AO117" s="109"/>
      <c r="AP117" s="331">
        <v>34</v>
      </c>
      <c r="AQ117" s="4"/>
      <c r="AR117" s="202" t="str">
        <f t="shared" ca="1" si="76"/>
        <v>Miki</v>
      </c>
      <c r="AS117" s="260"/>
      <c r="AT117" s="43"/>
      <c r="AX117" s="28"/>
      <c r="AY117" s="38"/>
    </row>
    <row r="118" spans="1:51" s="8" customFormat="1" ht="24" customHeight="1" x14ac:dyDescent="0.35">
      <c r="A118" s="11"/>
      <c r="B118" s="18"/>
      <c r="C118" s="18"/>
      <c r="D118" s="246">
        <v>155</v>
      </c>
      <c r="E118" s="22">
        <v>5063</v>
      </c>
      <c r="F118" s="247">
        <v>0.66319444444444697</v>
      </c>
      <c r="G118" s="247">
        <v>0.68611111111111101</v>
      </c>
      <c r="H118" s="376" t="str">
        <f t="shared" ca="1" si="77"/>
        <v>Jaime Sastre</v>
      </c>
      <c r="I118" s="376"/>
      <c r="J118" s="377"/>
      <c r="L118" s="56"/>
      <c r="M118" s="144">
        <v>7</v>
      </c>
      <c r="N118" s="194" t="str">
        <f t="shared" ca="1" si="74"/>
        <v>Salvador</v>
      </c>
      <c r="O118" s="230">
        <f>+O116+2</f>
        <v>4530</v>
      </c>
      <c r="P118" s="201"/>
      <c r="Q118" s="123"/>
      <c r="R118" s="132"/>
      <c r="S118" s="132"/>
      <c r="T118" s="132"/>
      <c r="U118" s="132"/>
      <c r="V118" s="132"/>
      <c r="W118" s="168"/>
      <c r="X118" s="279">
        <f>+X116+"00:20"</f>
        <v>0.59861111111111109</v>
      </c>
      <c r="Y118" s="162">
        <f t="shared" si="93"/>
        <v>0.60138888888888886</v>
      </c>
      <c r="Z118" s="162">
        <f t="shared" si="82"/>
        <v>0.60347222222222219</v>
      </c>
      <c r="AA118" s="162">
        <f t="shared" si="82"/>
        <v>0.60555555555555551</v>
      </c>
      <c r="AB118" s="162">
        <f t="shared" ref="AB118:AB121" si="103">SUM(AA118+"00:04")</f>
        <v>0.60833333333333328</v>
      </c>
      <c r="AC118" s="162">
        <f t="shared" si="95"/>
        <v>0.61180555555555549</v>
      </c>
      <c r="AD118" s="162">
        <f t="shared" si="96"/>
        <v>0.61319444444444438</v>
      </c>
      <c r="AE118" s="162">
        <f t="shared" si="97"/>
        <v>0.6152777777777777</v>
      </c>
      <c r="AF118" s="162">
        <f t="shared" si="83"/>
        <v>0.61666666666666659</v>
      </c>
      <c r="AG118" s="162">
        <f t="shared" si="83"/>
        <v>0.61805555555555547</v>
      </c>
      <c r="AH118" s="162">
        <f t="shared" si="84"/>
        <v>0.61874999999999991</v>
      </c>
      <c r="AI118" s="163">
        <f t="shared" si="84"/>
        <v>0.61944444444444435</v>
      </c>
      <c r="AJ118" s="162">
        <f t="shared" si="84"/>
        <v>0.6201388888888888</v>
      </c>
      <c r="AK118" s="162">
        <f t="shared" si="84"/>
        <v>0.62083333333333324</v>
      </c>
      <c r="AL118" s="162">
        <f t="shared" si="98"/>
        <v>0.62291666666666656</v>
      </c>
      <c r="AM118" s="162">
        <f t="shared" si="99"/>
        <v>0.62430555555555545</v>
      </c>
      <c r="AN118" s="129">
        <f t="shared" si="100"/>
        <v>0.62499999999999989</v>
      </c>
      <c r="AO118" s="109"/>
      <c r="AP118" s="331">
        <v>35</v>
      </c>
      <c r="AQ118" s="4"/>
      <c r="AR118" s="202" t="str">
        <f t="shared" ca="1" si="76"/>
        <v>Juanjo</v>
      </c>
      <c r="AS118" s="260"/>
      <c r="AT118" s="43"/>
      <c r="AU118" s="115"/>
      <c r="AV118" s="115"/>
      <c r="AW118" s="113"/>
      <c r="AX118" s="28"/>
      <c r="AY118" s="38"/>
    </row>
    <row r="119" spans="1:51" s="8" customFormat="1" ht="24" customHeight="1" x14ac:dyDescent="0.35">
      <c r="A119" s="11"/>
      <c r="B119" s="18"/>
      <c r="C119" s="18"/>
      <c r="D119" s="248">
        <v>19</v>
      </c>
      <c r="E119" s="185">
        <v>5065</v>
      </c>
      <c r="F119" s="249">
        <v>0.67708333333333504</v>
      </c>
      <c r="G119" s="249">
        <v>0.7</v>
      </c>
      <c r="H119" s="378" t="str">
        <f t="shared" ca="1" si="77"/>
        <v xml:space="preserve">Campos </v>
      </c>
      <c r="I119" s="378"/>
      <c r="J119" s="379"/>
      <c r="L119" s="56"/>
      <c r="M119" s="144">
        <v>202</v>
      </c>
      <c r="N119" s="194" t="str">
        <f t="shared" ca="1" si="74"/>
        <v>Gomila</v>
      </c>
      <c r="O119" s="230">
        <f>+O118+2</f>
        <v>4532</v>
      </c>
      <c r="P119" s="206"/>
      <c r="Q119" s="134"/>
      <c r="R119" s="167"/>
      <c r="S119" s="167"/>
      <c r="T119" s="167"/>
      <c r="U119" s="167"/>
      <c r="V119" s="167"/>
      <c r="W119" s="175"/>
      <c r="X119" s="279">
        <f>+X118+"00:10"</f>
        <v>0.60555555555555551</v>
      </c>
      <c r="Y119" s="162">
        <f t="shared" si="93"/>
        <v>0.60833333333333328</v>
      </c>
      <c r="Z119" s="162">
        <f t="shared" si="82"/>
        <v>0.61041666666666661</v>
      </c>
      <c r="AA119" s="162">
        <f t="shared" si="82"/>
        <v>0.61249999999999993</v>
      </c>
      <c r="AB119" s="162">
        <f t="shared" si="103"/>
        <v>0.6152777777777777</v>
      </c>
      <c r="AC119" s="162">
        <f t="shared" si="95"/>
        <v>0.61874999999999991</v>
      </c>
      <c r="AD119" s="162">
        <f t="shared" si="96"/>
        <v>0.6201388888888888</v>
      </c>
      <c r="AE119" s="162">
        <f t="shared" si="97"/>
        <v>0.62222222222222212</v>
      </c>
      <c r="AF119" s="162">
        <f t="shared" si="83"/>
        <v>0.62361111111111101</v>
      </c>
      <c r="AG119" s="162">
        <f t="shared" si="83"/>
        <v>0.62499999999999989</v>
      </c>
      <c r="AH119" s="162">
        <f t="shared" si="84"/>
        <v>0.62569444444444433</v>
      </c>
      <c r="AI119" s="163">
        <f t="shared" si="84"/>
        <v>0.62638888888888877</v>
      </c>
      <c r="AJ119" s="162">
        <f t="shared" si="84"/>
        <v>0.62708333333333321</v>
      </c>
      <c r="AK119" s="162">
        <f t="shared" si="84"/>
        <v>0.62777777777777766</v>
      </c>
      <c r="AL119" s="162">
        <f t="shared" si="98"/>
        <v>0.62986111111111098</v>
      </c>
      <c r="AM119" s="162">
        <f t="shared" si="99"/>
        <v>0.63124999999999987</v>
      </c>
      <c r="AN119" s="129">
        <f t="shared" si="100"/>
        <v>0.63194444444444431</v>
      </c>
      <c r="AO119" s="109"/>
      <c r="AP119" s="331">
        <v>36</v>
      </c>
      <c r="AQ119" s="4"/>
      <c r="AR119" s="202" t="str">
        <f t="shared" ca="1" si="76"/>
        <v>C, Jaume</v>
      </c>
      <c r="AS119" s="260"/>
      <c r="AT119" s="43"/>
      <c r="AX119" s="28"/>
      <c r="AY119" s="38"/>
    </row>
    <row r="120" spans="1:51" s="8" customFormat="1" ht="24" customHeight="1" x14ac:dyDescent="0.35">
      <c r="A120" s="11"/>
      <c r="B120" s="18"/>
      <c r="C120" s="18"/>
      <c r="D120" s="246">
        <v>155</v>
      </c>
      <c r="E120" s="22">
        <v>5067</v>
      </c>
      <c r="F120" s="247">
        <v>0.69097222222222499</v>
      </c>
      <c r="G120" s="247">
        <v>0.71388888888888902</v>
      </c>
      <c r="H120" s="376" t="str">
        <f t="shared" ca="1" si="77"/>
        <v>Jaime Sastre</v>
      </c>
      <c r="I120" s="376"/>
      <c r="J120" s="377"/>
      <c r="L120" s="56"/>
      <c r="M120" s="144">
        <v>153</v>
      </c>
      <c r="N120" s="194" t="str">
        <f t="shared" ca="1" si="74"/>
        <v>Atero</v>
      </c>
      <c r="O120" s="230">
        <f>+O119+2</f>
        <v>4534</v>
      </c>
      <c r="P120" s="206"/>
      <c r="Q120" s="136"/>
      <c r="R120" s="169"/>
      <c r="S120" s="169"/>
      <c r="T120" s="169"/>
      <c r="U120" s="169"/>
      <c r="V120" s="169"/>
      <c r="W120" s="176"/>
      <c r="X120" s="282">
        <f>+X119+"00:10"</f>
        <v>0.61249999999999993</v>
      </c>
      <c r="Y120" s="160">
        <f t="shared" si="93"/>
        <v>0.6152777777777777</v>
      </c>
      <c r="Z120" s="160">
        <f t="shared" si="82"/>
        <v>0.61736111111111103</v>
      </c>
      <c r="AA120" s="160">
        <f t="shared" si="82"/>
        <v>0.61944444444444435</v>
      </c>
      <c r="AB120" s="160">
        <f t="shared" si="103"/>
        <v>0.62222222222222212</v>
      </c>
      <c r="AC120" s="160">
        <f t="shared" si="95"/>
        <v>0.62569444444444433</v>
      </c>
      <c r="AD120" s="160">
        <f t="shared" si="96"/>
        <v>0.62708333333333321</v>
      </c>
      <c r="AE120" s="160">
        <f t="shared" si="97"/>
        <v>0.62916666666666654</v>
      </c>
      <c r="AF120" s="160">
        <f t="shared" si="83"/>
        <v>0.63055555555555542</v>
      </c>
      <c r="AG120" s="160">
        <f t="shared" si="83"/>
        <v>0.63194444444444431</v>
      </c>
      <c r="AH120" s="160">
        <f t="shared" si="84"/>
        <v>0.63263888888888875</v>
      </c>
      <c r="AI120" s="161">
        <f t="shared" si="84"/>
        <v>0.63333333333333319</v>
      </c>
      <c r="AJ120" s="160">
        <f t="shared" si="84"/>
        <v>0.63402777777777763</v>
      </c>
      <c r="AK120" s="160">
        <f t="shared" si="84"/>
        <v>0.63472222222222208</v>
      </c>
      <c r="AL120" s="160">
        <f t="shared" si="98"/>
        <v>0.6368055555555554</v>
      </c>
      <c r="AM120" s="160">
        <f t="shared" si="99"/>
        <v>0.63819444444444429</v>
      </c>
      <c r="AN120" s="124">
        <f t="shared" si="100"/>
        <v>0.63888888888888873</v>
      </c>
      <c r="AO120" s="109"/>
      <c r="AP120" s="331">
        <v>155</v>
      </c>
      <c r="AQ120" s="4"/>
      <c r="AR120" s="202" t="str">
        <f t="shared" ca="1" si="76"/>
        <v>Jaime Sastre</v>
      </c>
      <c r="AS120" s="260"/>
      <c r="AT120" s="43"/>
      <c r="AX120" s="28"/>
      <c r="AY120" s="38"/>
    </row>
    <row r="121" spans="1:51" s="8" customFormat="1" ht="24" customHeight="1" x14ac:dyDescent="0.35">
      <c r="A121" s="11"/>
      <c r="B121" s="18"/>
      <c r="C121" s="18"/>
      <c r="D121" s="248">
        <v>34</v>
      </c>
      <c r="E121" s="185">
        <v>5069</v>
      </c>
      <c r="F121" s="249">
        <v>0.70486111111111205</v>
      </c>
      <c r="G121" s="249">
        <v>0.72777777777777797</v>
      </c>
      <c r="H121" s="378" t="str">
        <f t="shared" ca="1" si="77"/>
        <v>Miki</v>
      </c>
      <c r="I121" s="378"/>
      <c r="J121" s="379"/>
      <c r="L121" s="56"/>
      <c r="M121" s="144">
        <v>156</v>
      </c>
      <c r="N121" s="194" t="str">
        <f t="shared" ca="1" si="74"/>
        <v>Ruben</v>
      </c>
      <c r="O121" s="227">
        <f>+O115+2</f>
        <v>4724</v>
      </c>
      <c r="P121" s="198"/>
      <c r="Q121" s="125">
        <f>Q115+"01:00"</f>
        <v>0.60555555555555551</v>
      </c>
      <c r="R121" s="166">
        <f>Q121+"00:04"</f>
        <v>0.60833333333333328</v>
      </c>
      <c r="S121" s="166">
        <f>R121+"00:04"</f>
        <v>0.61111111111111105</v>
      </c>
      <c r="T121" s="166">
        <f t="shared" ref="T121:V121" si="104">S121+"00:04"</f>
        <v>0.61388888888888882</v>
      </c>
      <c r="U121" s="166">
        <f>T121+"00:01"</f>
        <v>0.61458333333333326</v>
      </c>
      <c r="V121" s="166">
        <f t="shared" si="104"/>
        <v>0.61736111111111103</v>
      </c>
      <c r="W121" s="166">
        <f>V121+"00:01"</f>
        <v>0.61805555555555547</v>
      </c>
      <c r="X121" s="279">
        <f>W121+"00:02"</f>
        <v>0.61944444444444435</v>
      </c>
      <c r="Y121" s="160">
        <f t="shared" si="93"/>
        <v>0.62222222222222212</v>
      </c>
      <c r="Z121" s="160">
        <f t="shared" si="82"/>
        <v>0.62430555555555545</v>
      </c>
      <c r="AA121" s="160">
        <f t="shared" si="82"/>
        <v>0.62638888888888877</v>
      </c>
      <c r="AB121" s="160">
        <f t="shared" si="103"/>
        <v>0.62916666666666654</v>
      </c>
      <c r="AC121" s="160">
        <f t="shared" si="95"/>
        <v>0.63263888888888875</v>
      </c>
      <c r="AD121" s="160">
        <f t="shared" si="96"/>
        <v>0.63402777777777763</v>
      </c>
      <c r="AE121" s="160">
        <f t="shared" si="97"/>
        <v>0.63611111111111096</v>
      </c>
      <c r="AF121" s="160">
        <f t="shared" si="83"/>
        <v>0.63749999999999984</v>
      </c>
      <c r="AG121" s="160">
        <f t="shared" si="83"/>
        <v>0.63888888888888873</v>
      </c>
      <c r="AH121" s="160">
        <f t="shared" si="84"/>
        <v>0.63958333333333317</v>
      </c>
      <c r="AI121" s="161">
        <f t="shared" si="84"/>
        <v>0.64027777777777761</v>
      </c>
      <c r="AJ121" s="160">
        <f t="shared" si="84"/>
        <v>0.64097222222222205</v>
      </c>
      <c r="AK121" s="160">
        <f t="shared" si="84"/>
        <v>0.6416666666666665</v>
      </c>
      <c r="AL121" s="160">
        <f t="shared" si="98"/>
        <v>0.64374999999999982</v>
      </c>
      <c r="AM121" s="160">
        <f t="shared" si="99"/>
        <v>0.64513888888888871</v>
      </c>
      <c r="AN121" s="126">
        <f t="shared" si="100"/>
        <v>0.64583333333333315</v>
      </c>
      <c r="AO121" s="109"/>
      <c r="AP121" s="331">
        <v>156</v>
      </c>
      <c r="AQ121" s="4"/>
      <c r="AR121" s="202" t="str">
        <f t="shared" ca="1" si="76"/>
        <v>Ruben</v>
      </c>
      <c r="AS121" s="260"/>
      <c r="AT121" s="44"/>
      <c r="AX121" s="28"/>
      <c r="AY121" s="38"/>
    </row>
    <row r="122" spans="1:51" s="8" customFormat="1" ht="24" customHeight="1" x14ac:dyDescent="0.35">
      <c r="A122" s="11"/>
      <c r="B122" s="18"/>
      <c r="C122" s="18"/>
      <c r="D122" s="246">
        <v>155</v>
      </c>
      <c r="E122" s="22">
        <v>5071</v>
      </c>
      <c r="F122" s="247">
        <v>0.718750000000002</v>
      </c>
      <c r="G122" s="247">
        <v>0.74166666666666703</v>
      </c>
      <c r="H122" s="376" t="str">
        <f t="shared" ca="1" si="77"/>
        <v>Jaime Sastre</v>
      </c>
      <c r="I122" s="376"/>
      <c r="J122" s="377"/>
      <c r="L122" s="56"/>
      <c r="M122" s="144">
        <v>13</v>
      </c>
      <c r="N122" s="194" t="str">
        <f t="shared" ca="1" si="74"/>
        <v>Florit</v>
      </c>
      <c r="O122" s="226">
        <f>+O120+2</f>
        <v>4536</v>
      </c>
      <c r="P122" s="199"/>
      <c r="Q122" s="134"/>
      <c r="R122" s="128"/>
      <c r="S122" s="128"/>
      <c r="T122" s="128"/>
      <c r="U122" s="128"/>
      <c r="V122" s="128"/>
      <c r="W122" s="166"/>
      <c r="X122" s="280">
        <f>+X120+"00:20"</f>
        <v>0.62638888888888877</v>
      </c>
      <c r="Y122" s="162">
        <f t="shared" si="93"/>
        <v>0.62916666666666654</v>
      </c>
      <c r="Z122" s="162">
        <f t="shared" ref="Z122:AA141" si="105">SUM(Y122+"00:03")</f>
        <v>0.63124999999999987</v>
      </c>
      <c r="AA122" s="162">
        <f t="shared" si="105"/>
        <v>0.63333333333333319</v>
      </c>
      <c r="AB122" s="162">
        <f t="shared" ref="AB122:AB123" si="106">SUM(AA122+"00:04")</f>
        <v>0.63611111111111096</v>
      </c>
      <c r="AC122" s="162">
        <f t="shared" si="95"/>
        <v>0.63958333333333317</v>
      </c>
      <c r="AD122" s="162">
        <f t="shared" si="96"/>
        <v>0.64097222222222205</v>
      </c>
      <c r="AE122" s="162">
        <f t="shared" si="97"/>
        <v>0.64305555555555538</v>
      </c>
      <c r="AF122" s="162">
        <f t="shared" ref="AF122:AG141" si="107">SUM(AE122+"00:02")</f>
        <v>0.64444444444444426</v>
      </c>
      <c r="AG122" s="162">
        <f t="shared" si="107"/>
        <v>0.64583333333333315</v>
      </c>
      <c r="AH122" s="162">
        <f t="shared" ref="AH122:AK141" si="108">SUM(AG122+"00:01")</f>
        <v>0.64652777777777759</v>
      </c>
      <c r="AI122" s="163">
        <f t="shared" si="108"/>
        <v>0.64722222222222203</v>
      </c>
      <c r="AJ122" s="162">
        <f t="shared" si="108"/>
        <v>0.64791666666666647</v>
      </c>
      <c r="AK122" s="162">
        <f t="shared" si="108"/>
        <v>0.64861111111111092</v>
      </c>
      <c r="AL122" s="162">
        <f t="shared" si="98"/>
        <v>0.65069444444444424</v>
      </c>
      <c r="AM122" s="162">
        <f t="shared" si="99"/>
        <v>0.65208333333333313</v>
      </c>
      <c r="AN122" s="129">
        <f t="shared" si="100"/>
        <v>0.65277777777777757</v>
      </c>
      <c r="AO122" s="109"/>
      <c r="AP122" s="331">
        <v>157</v>
      </c>
      <c r="AQ122" s="4"/>
      <c r="AR122" s="202" t="str">
        <f t="shared" ca="1" si="76"/>
        <v xml:space="preserve">T. Martinez </v>
      </c>
      <c r="AS122" s="260"/>
      <c r="AT122" s="43"/>
      <c r="AX122" s="28"/>
      <c r="AY122" s="38"/>
    </row>
    <row r="123" spans="1:51" s="8" customFormat="1" ht="24" customHeight="1" x14ac:dyDescent="0.35">
      <c r="A123" s="11"/>
      <c r="B123" s="18"/>
      <c r="C123" s="18"/>
      <c r="D123" s="248">
        <v>34</v>
      </c>
      <c r="E123" s="185">
        <v>5073</v>
      </c>
      <c r="F123" s="249">
        <v>0.73263888888889095</v>
      </c>
      <c r="G123" s="249">
        <v>0.75555555555555598</v>
      </c>
      <c r="H123" s="378" t="str">
        <f t="shared" ca="1" si="77"/>
        <v>Miki</v>
      </c>
      <c r="I123" s="378"/>
      <c r="J123" s="379"/>
      <c r="L123" s="56"/>
      <c r="M123" s="144">
        <v>102</v>
      </c>
      <c r="N123" s="194" t="str">
        <f t="shared" ca="1" si="74"/>
        <v>Miguel Bosch</v>
      </c>
      <c r="O123" s="228">
        <f>+O117+2</f>
        <v>4924</v>
      </c>
      <c r="P123" s="200">
        <f>P117+"00:59"</f>
        <v>0.60833333333333339</v>
      </c>
      <c r="Q123" s="133">
        <f>+P123+"00:12"</f>
        <v>0.6166666666666667</v>
      </c>
      <c r="R123" s="166">
        <f>+Q123+"00:05"</f>
        <v>0.62013888888888891</v>
      </c>
      <c r="S123" s="166">
        <f>+R123+"00:04"</f>
        <v>0.62291666666666667</v>
      </c>
      <c r="T123" s="166">
        <f>+S123+"00:8"</f>
        <v>0.62847222222222221</v>
      </c>
      <c r="U123" s="166">
        <f>+T123+"00:00"</f>
        <v>0.62847222222222221</v>
      </c>
      <c r="V123" s="166">
        <f>+U123+"00:04"</f>
        <v>0.63124999999999998</v>
      </c>
      <c r="W123" s="166">
        <f>+V123+"00:01"</f>
        <v>0.63194444444444442</v>
      </c>
      <c r="X123" s="279">
        <f>+W123+"00:02"</f>
        <v>0.6333333333333333</v>
      </c>
      <c r="Y123" s="160">
        <f t="shared" si="93"/>
        <v>0.63611111111111107</v>
      </c>
      <c r="Z123" s="160">
        <f t="shared" si="105"/>
        <v>0.6381944444444444</v>
      </c>
      <c r="AA123" s="160">
        <f t="shared" si="105"/>
        <v>0.64027777777777772</v>
      </c>
      <c r="AB123" s="160">
        <f t="shared" si="106"/>
        <v>0.64305555555555549</v>
      </c>
      <c r="AC123" s="160">
        <f t="shared" si="95"/>
        <v>0.6465277777777777</v>
      </c>
      <c r="AD123" s="160">
        <f t="shared" si="96"/>
        <v>0.64791666666666659</v>
      </c>
      <c r="AE123" s="160">
        <f t="shared" si="97"/>
        <v>0.64999999999999991</v>
      </c>
      <c r="AF123" s="160">
        <f t="shared" si="107"/>
        <v>0.6513888888888888</v>
      </c>
      <c r="AG123" s="160">
        <f t="shared" si="107"/>
        <v>0.65277777777777768</v>
      </c>
      <c r="AH123" s="160">
        <f t="shared" si="108"/>
        <v>0.65347222222222212</v>
      </c>
      <c r="AI123" s="161">
        <f t="shared" si="108"/>
        <v>0.65416666666666656</v>
      </c>
      <c r="AJ123" s="160">
        <f t="shared" si="108"/>
        <v>0.65486111111111101</v>
      </c>
      <c r="AK123" s="160">
        <f t="shared" si="108"/>
        <v>0.65555555555555545</v>
      </c>
      <c r="AL123" s="160">
        <f t="shared" si="98"/>
        <v>0.65763888888888877</v>
      </c>
      <c r="AM123" s="160">
        <f t="shared" si="99"/>
        <v>0.65902777777777766</v>
      </c>
      <c r="AN123" s="131">
        <f t="shared" si="100"/>
        <v>0.6597222222222221</v>
      </c>
      <c r="AO123" s="109"/>
      <c r="AP123" s="334"/>
      <c r="AR123" s="202"/>
      <c r="AS123" s="260"/>
      <c r="AT123" s="44"/>
      <c r="AX123" s="28"/>
      <c r="AY123" s="38"/>
    </row>
    <row r="124" spans="1:51" s="8" customFormat="1" ht="24" customHeight="1" x14ac:dyDescent="0.35">
      <c r="A124" s="11"/>
      <c r="B124" s="18"/>
      <c r="C124" s="18"/>
      <c r="D124" s="246">
        <v>156</v>
      </c>
      <c r="E124" s="22">
        <v>5075</v>
      </c>
      <c r="F124" s="247">
        <v>0.74652777777777901</v>
      </c>
      <c r="G124" s="247">
        <v>0.76944444444444404</v>
      </c>
      <c r="H124" s="376" t="str">
        <f t="shared" ca="1" si="77"/>
        <v>Ruben</v>
      </c>
      <c r="I124" s="376"/>
      <c r="J124" s="377"/>
      <c r="L124" s="56"/>
      <c r="M124" s="144">
        <v>15</v>
      </c>
      <c r="N124" s="194" t="str">
        <f t="shared" ca="1" si="74"/>
        <v>Tomeu Moya</v>
      </c>
      <c r="O124" s="226">
        <f>+O122+2</f>
        <v>4538</v>
      </c>
      <c r="P124" s="201"/>
      <c r="Q124" s="136"/>
      <c r="R124" s="132"/>
      <c r="S124" s="132"/>
      <c r="T124" s="132"/>
      <c r="U124" s="132"/>
      <c r="V124" s="132"/>
      <c r="W124" s="168"/>
      <c r="X124" s="281">
        <f>+X122+"00:20"</f>
        <v>0.64027777777777761</v>
      </c>
      <c r="Y124" s="160">
        <f t="shared" si="93"/>
        <v>0.64305555555555538</v>
      </c>
      <c r="Z124" s="160">
        <f t="shared" si="105"/>
        <v>0.64513888888888871</v>
      </c>
      <c r="AA124" s="160">
        <f t="shared" si="105"/>
        <v>0.64722222222222203</v>
      </c>
      <c r="AB124" s="160">
        <f t="shared" ref="AB124:AB125" si="109">SUM(AA124+"00:04")</f>
        <v>0.6499999999999998</v>
      </c>
      <c r="AC124" s="160">
        <f t="shared" si="95"/>
        <v>0.65347222222222201</v>
      </c>
      <c r="AD124" s="160">
        <f t="shared" si="96"/>
        <v>0.65486111111111089</v>
      </c>
      <c r="AE124" s="160">
        <f t="shared" si="97"/>
        <v>0.65694444444444422</v>
      </c>
      <c r="AF124" s="160">
        <f t="shared" si="107"/>
        <v>0.6583333333333331</v>
      </c>
      <c r="AG124" s="160">
        <f t="shared" si="107"/>
        <v>0.65972222222222199</v>
      </c>
      <c r="AH124" s="160">
        <f t="shared" si="108"/>
        <v>0.66041666666666643</v>
      </c>
      <c r="AI124" s="161">
        <f t="shared" si="108"/>
        <v>0.66111111111111087</v>
      </c>
      <c r="AJ124" s="160">
        <f t="shared" si="108"/>
        <v>0.66180555555555531</v>
      </c>
      <c r="AK124" s="160">
        <f t="shared" si="108"/>
        <v>0.66249999999999976</v>
      </c>
      <c r="AL124" s="160">
        <f t="shared" si="98"/>
        <v>0.66458333333333308</v>
      </c>
      <c r="AM124" s="160">
        <f t="shared" si="99"/>
        <v>0.66597222222222197</v>
      </c>
      <c r="AN124" s="124">
        <f t="shared" si="100"/>
        <v>0.66666666666666641</v>
      </c>
      <c r="AO124" s="109"/>
      <c r="AP124" s="333">
        <v>102</v>
      </c>
      <c r="AQ124" s="187"/>
      <c r="AR124" s="274" t="str">
        <f t="shared" ca="1" si="76"/>
        <v>Miguel Bosch</v>
      </c>
      <c r="AS124" s="263"/>
      <c r="AT124" s="43"/>
      <c r="AX124" s="28"/>
      <c r="AY124" s="38"/>
    </row>
    <row r="125" spans="1:51" s="8" customFormat="1" ht="24" customHeight="1" x14ac:dyDescent="0.35">
      <c r="A125" s="11"/>
      <c r="B125" s="18"/>
      <c r="C125" s="18"/>
      <c r="D125" s="248">
        <v>35</v>
      </c>
      <c r="E125" s="185">
        <v>5077</v>
      </c>
      <c r="F125" s="249">
        <v>0.76041666666666896</v>
      </c>
      <c r="G125" s="249">
        <v>0.78333333333333299</v>
      </c>
      <c r="H125" s="378" t="str">
        <f t="shared" ca="1" si="77"/>
        <v>Juanjo</v>
      </c>
      <c r="I125" s="378"/>
      <c r="J125" s="379"/>
      <c r="L125" s="56"/>
      <c r="M125" s="144">
        <v>12</v>
      </c>
      <c r="N125" s="194" t="str">
        <f t="shared" ca="1" si="74"/>
        <v>Iniesta</v>
      </c>
      <c r="O125" s="227">
        <f>+O121+2</f>
        <v>4726</v>
      </c>
      <c r="P125" s="198"/>
      <c r="Q125" s="125">
        <f>Q121+"00:40"</f>
        <v>0.6333333333333333</v>
      </c>
      <c r="R125" s="166">
        <f>Q125+"00:04"</f>
        <v>0.63611111111111107</v>
      </c>
      <c r="S125" s="166">
        <f>R125+"00:04"</f>
        <v>0.63888888888888884</v>
      </c>
      <c r="T125" s="166">
        <f t="shared" ref="T125:V125" si="110">S125+"00:04"</f>
        <v>0.64166666666666661</v>
      </c>
      <c r="U125" s="166">
        <f>T125+"00:01"</f>
        <v>0.64236111111111105</v>
      </c>
      <c r="V125" s="166">
        <f t="shared" si="110"/>
        <v>0.64513888888888882</v>
      </c>
      <c r="W125" s="166">
        <f>V125+"00:01"</f>
        <v>0.64583333333333326</v>
      </c>
      <c r="X125" s="279">
        <f>W125+"00:02"</f>
        <v>0.64722222222222214</v>
      </c>
      <c r="Y125" s="160">
        <f t="shared" si="93"/>
        <v>0.64999999999999991</v>
      </c>
      <c r="Z125" s="160">
        <f t="shared" si="105"/>
        <v>0.65208333333333324</v>
      </c>
      <c r="AA125" s="160">
        <f t="shared" si="105"/>
        <v>0.65416666666666656</v>
      </c>
      <c r="AB125" s="160">
        <f t="shared" si="109"/>
        <v>0.65694444444444433</v>
      </c>
      <c r="AC125" s="160">
        <f t="shared" si="95"/>
        <v>0.66041666666666654</v>
      </c>
      <c r="AD125" s="160">
        <f t="shared" si="96"/>
        <v>0.66180555555555542</v>
      </c>
      <c r="AE125" s="160">
        <f t="shared" si="97"/>
        <v>0.66388888888888875</v>
      </c>
      <c r="AF125" s="160">
        <f t="shared" si="107"/>
        <v>0.66527777777777763</v>
      </c>
      <c r="AG125" s="160">
        <f t="shared" si="107"/>
        <v>0.66666666666666652</v>
      </c>
      <c r="AH125" s="160">
        <f t="shared" si="108"/>
        <v>0.66736111111111096</v>
      </c>
      <c r="AI125" s="161">
        <f t="shared" si="108"/>
        <v>0.6680555555555554</v>
      </c>
      <c r="AJ125" s="160">
        <f t="shared" si="108"/>
        <v>0.66874999999999984</v>
      </c>
      <c r="AK125" s="160">
        <f t="shared" si="108"/>
        <v>0.66944444444444429</v>
      </c>
      <c r="AL125" s="160">
        <f t="shared" si="98"/>
        <v>0.67152777777777761</v>
      </c>
      <c r="AM125" s="160">
        <f t="shared" si="99"/>
        <v>0.6729166666666665</v>
      </c>
      <c r="AN125" s="126">
        <f t="shared" si="100"/>
        <v>0.67361111111111094</v>
      </c>
      <c r="AO125" s="109"/>
      <c r="AP125" s="334"/>
      <c r="AR125" s="202"/>
      <c r="AS125" s="260"/>
      <c r="AT125" s="44"/>
      <c r="AU125" s="115"/>
      <c r="AV125" s="115"/>
      <c r="AW125" s="113"/>
      <c r="AX125" s="28"/>
      <c r="AY125" s="38"/>
    </row>
    <row r="126" spans="1:51" s="8" customFormat="1" ht="24" customHeight="1" x14ac:dyDescent="0.45">
      <c r="A126" s="11"/>
      <c r="B126" s="18"/>
      <c r="C126" s="18"/>
      <c r="D126" s="246">
        <v>102</v>
      </c>
      <c r="E126" s="22">
        <v>5079</v>
      </c>
      <c r="F126" s="247">
        <v>0.77430555555555802</v>
      </c>
      <c r="G126" s="247">
        <v>0.79722222222222205</v>
      </c>
      <c r="H126" s="376" t="str">
        <f t="shared" ca="1" si="77"/>
        <v>Miguel Bosch</v>
      </c>
      <c r="I126" s="376"/>
      <c r="J126" s="377"/>
      <c r="L126" s="56"/>
      <c r="M126" s="144">
        <v>17</v>
      </c>
      <c r="N126" s="194" t="str">
        <f t="shared" ca="1" si="74"/>
        <v xml:space="preserve">Lucio </v>
      </c>
      <c r="O126" s="226">
        <f>+O124+2</f>
        <v>4540</v>
      </c>
      <c r="P126" s="199"/>
      <c r="Q126" s="134"/>
      <c r="R126" s="128"/>
      <c r="S126" s="128"/>
      <c r="T126" s="128"/>
      <c r="U126" s="128"/>
      <c r="V126" s="128"/>
      <c r="W126" s="166"/>
      <c r="X126" s="280">
        <f>+X124+"00:20"</f>
        <v>0.65416666666666645</v>
      </c>
      <c r="Y126" s="162">
        <f t="shared" si="93"/>
        <v>0.65694444444444422</v>
      </c>
      <c r="Z126" s="162">
        <f t="shared" si="105"/>
        <v>0.65902777777777755</v>
      </c>
      <c r="AA126" s="162">
        <f t="shared" si="105"/>
        <v>0.66111111111111087</v>
      </c>
      <c r="AB126" s="162">
        <f t="shared" ref="AB126:AB127" si="111">SUM(AA126+"00:04")</f>
        <v>0.66388888888888864</v>
      </c>
      <c r="AC126" s="162">
        <f t="shared" si="95"/>
        <v>0.66736111111111085</v>
      </c>
      <c r="AD126" s="162">
        <f t="shared" si="96"/>
        <v>0.66874999999999973</v>
      </c>
      <c r="AE126" s="162">
        <f t="shared" si="97"/>
        <v>0.67083333333333306</v>
      </c>
      <c r="AF126" s="162">
        <f t="shared" si="107"/>
        <v>0.67222222222222194</v>
      </c>
      <c r="AG126" s="162">
        <f t="shared" si="107"/>
        <v>0.67361111111111083</v>
      </c>
      <c r="AH126" s="162">
        <f t="shared" si="108"/>
        <v>0.67430555555555527</v>
      </c>
      <c r="AI126" s="163">
        <f t="shared" si="108"/>
        <v>0.67499999999999971</v>
      </c>
      <c r="AJ126" s="162">
        <f t="shared" si="108"/>
        <v>0.67569444444444415</v>
      </c>
      <c r="AK126" s="162">
        <f t="shared" si="108"/>
        <v>0.6763888888888886</v>
      </c>
      <c r="AL126" s="162">
        <f t="shared" si="98"/>
        <v>0.67847222222222192</v>
      </c>
      <c r="AM126" s="162">
        <f t="shared" si="99"/>
        <v>0.67986111111111081</v>
      </c>
      <c r="AN126" s="129">
        <f t="shared" si="100"/>
        <v>0.68055555555555525</v>
      </c>
      <c r="AO126" s="109"/>
      <c r="AP126" s="333">
        <v>202</v>
      </c>
      <c r="AQ126" s="187"/>
      <c r="AR126" s="274" t="str">
        <f t="shared" ca="1" si="76"/>
        <v>Gomila</v>
      </c>
      <c r="AS126" s="266"/>
      <c r="AT126" s="43"/>
      <c r="AX126" s="28"/>
      <c r="AY126" s="38"/>
    </row>
    <row r="127" spans="1:51" s="8" customFormat="1" ht="24" customHeight="1" x14ac:dyDescent="0.35">
      <c r="A127" s="11"/>
      <c r="B127" s="18"/>
      <c r="C127" s="18"/>
      <c r="D127" s="248">
        <v>202</v>
      </c>
      <c r="E127" s="185">
        <v>5081</v>
      </c>
      <c r="F127" s="249">
        <v>0.78819444444444597</v>
      </c>
      <c r="G127" s="249">
        <v>0.81111111111111101</v>
      </c>
      <c r="H127" s="378" t="str">
        <f t="shared" ca="1" si="77"/>
        <v>Gomila</v>
      </c>
      <c r="I127" s="378"/>
      <c r="J127" s="379"/>
      <c r="L127" s="56"/>
      <c r="M127" s="144">
        <v>11</v>
      </c>
      <c r="N127" s="194" t="str">
        <f t="shared" ca="1" si="74"/>
        <v>Yolanda Diaz</v>
      </c>
      <c r="O127" s="228">
        <f>+O123+2</f>
        <v>4926</v>
      </c>
      <c r="P127" s="200">
        <f>P123+"00:40"</f>
        <v>0.63611111111111118</v>
      </c>
      <c r="Q127" s="133">
        <f>+P127+"00:12"</f>
        <v>0.64444444444444449</v>
      </c>
      <c r="R127" s="166">
        <f>+Q127+"00:05"</f>
        <v>0.6479166666666667</v>
      </c>
      <c r="S127" s="166">
        <f>+R127+"00:04"</f>
        <v>0.65069444444444446</v>
      </c>
      <c r="T127" s="166">
        <f>+S127+"00:8"</f>
        <v>0.65625</v>
      </c>
      <c r="U127" s="166">
        <f>+T127+"00:00"</f>
        <v>0.65625</v>
      </c>
      <c r="V127" s="166">
        <f>+U127+"00:04"</f>
        <v>0.65902777777777777</v>
      </c>
      <c r="W127" s="166">
        <f>+V127+"00:01"</f>
        <v>0.65972222222222221</v>
      </c>
      <c r="X127" s="279">
        <f>+W127+"00:02"</f>
        <v>0.66111111111111109</v>
      </c>
      <c r="Y127" s="160">
        <f t="shared" si="93"/>
        <v>0.66388888888888886</v>
      </c>
      <c r="Z127" s="160">
        <f t="shared" si="105"/>
        <v>0.66597222222222219</v>
      </c>
      <c r="AA127" s="160">
        <f t="shared" si="105"/>
        <v>0.66805555555555551</v>
      </c>
      <c r="AB127" s="160">
        <f t="shared" si="111"/>
        <v>0.67083333333333328</v>
      </c>
      <c r="AC127" s="160">
        <f t="shared" si="95"/>
        <v>0.67430555555555549</v>
      </c>
      <c r="AD127" s="160">
        <f t="shared" si="96"/>
        <v>0.67569444444444438</v>
      </c>
      <c r="AE127" s="160">
        <f t="shared" si="97"/>
        <v>0.6777777777777777</v>
      </c>
      <c r="AF127" s="160">
        <f t="shared" si="107"/>
        <v>0.67916666666666659</v>
      </c>
      <c r="AG127" s="160">
        <f t="shared" si="107"/>
        <v>0.68055555555555547</v>
      </c>
      <c r="AH127" s="160">
        <f t="shared" si="108"/>
        <v>0.68124999999999991</v>
      </c>
      <c r="AI127" s="161">
        <f t="shared" si="108"/>
        <v>0.68194444444444435</v>
      </c>
      <c r="AJ127" s="160">
        <f t="shared" si="108"/>
        <v>0.6826388888888888</v>
      </c>
      <c r="AK127" s="160">
        <f t="shared" si="108"/>
        <v>0.68333333333333324</v>
      </c>
      <c r="AL127" s="160">
        <f t="shared" si="98"/>
        <v>0.68541666666666656</v>
      </c>
      <c r="AM127" s="160">
        <f t="shared" si="99"/>
        <v>0.68680555555555545</v>
      </c>
      <c r="AN127" s="131">
        <f t="shared" si="100"/>
        <v>0.68749999999999989</v>
      </c>
      <c r="AO127" s="109"/>
      <c r="AP127" s="334"/>
      <c r="AR127" s="202"/>
      <c r="AS127" s="260"/>
      <c r="AT127" s="44"/>
      <c r="AX127" s="28"/>
      <c r="AY127" s="38"/>
    </row>
    <row r="128" spans="1:51" s="8" customFormat="1" ht="24" customHeight="1" x14ac:dyDescent="0.35">
      <c r="A128" s="11"/>
      <c r="B128" s="18"/>
      <c r="C128" s="18"/>
      <c r="D128" s="246">
        <v>19</v>
      </c>
      <c r="E128" s="22">
        <v>5083</v>
      </c>
      <c r="F128" s="247">
        <v>0.80208333333333504</v>
      </c>
      <c r="G128" s="247">
        <v>0.82499999999999996</v>
      </c>
      <c r="H128" s="376" t="str">
        <f t="shared" ca="1" si="77"/>
        <v xml:space="preserve">Campos </v>
      </c>
      <c r="I128" s="376"/>
      <c r="J128" s="377"/>
      <c r="L128" s="56"/>
      <c r="M128" s="144">
        <v>34</v>
      </c>
      <c r="N128" s="194" t="str">
        <f t="shared" ca="1" si="74"/>
        <v>Miki</v>
      </c>
      <c r="O128" s="226">
        <f>+O126+2</f>
        <v>4542</v>
      </c>
      <c r="P128" s="201"/>
      <c r="Q128" s="136"/>
      <c r="R128" s="132"/>
      <c r="S128" s="132"/>
      <c r="T128" s="132"/>
      <c r="U128" s="132"/>
      <c r="V128" s="132"/>
      <c r="W128" s="168"/>
      <c r="X128" s="281">
        <f>+X126+"00:20"</f>
        <v>0.66805555555555529</v>
      </c>
      <c r="Y128" s="160">
        <f t="shared" si="93"/>
        <v>0.67083333333333306</v>
      </c>
      <c r="Z128" s="160">
        <f t="shared" si="105"/>
        <v>0.67291666666666639</v>
      </c>
      <c r="AA128" s="160">
        <f t="shared" si="105"/>
        <v>0.67499999999999971</v>
      </c>
      <c r="AB128" s="160">
        <f t="shared" ref="AB128:AB129" si="112">SUM(AA128+"00:04")</f>
        <v>0.67777777777777748</v>
      </c>
      <c r="AC128" s="160">
        <f t="shared" si="95"/>
        <v>0.68124999999999969</v>
      </c>
      <c r="AD128" s="160">
        <f t="shared" si="96"/>
        <v>0.68263888888888857</v>
      </c>
      <c r="AE128" s="160">
        <f t="shared" si="97"/>
        <v>0.6847222222222219</v>
      </c>
      <c r="AF128" s="160">
        <f t="shared" si="107"/>
        <v>0.68611111111111078</v>
      </c>
      <c r="AG128" s="160">
        <f t="shared" si="107"/>
        <v>0.68749999999999967</v>
      </c>
      <c r="AH128" s="160">
        <f t="shared" si="108"/>
        <v>0.68819444444444411</v>
      </c>
      <c r="AI128" s="161">
        <f t="shared" si="108"/>
        <v>0.68888888888888855</v>
      </c>
      <c r="AJ128" s="160">
        <f t="shared" si="108"/>
        <v>0.68958333333333299</v>
      </c>
      <c r="AK128" s="160">
        <f t="shared" si="108"/>
        <v>0.69027777777777743</v>
      </c>
      <c r="AL128" s="160">
        <f t="shared" si="98"/>
        <v>0.69236111111111076</v>
      </c>
      <c r="AM128" s="160">
        <f t="shared" si="99"/>
        <v>0.69374999999999964</v>
      </c>
      <c r="AN128" s="124">
        <f t="shared" si="100"/>
        <v>0.69444444444444409</v>
      </c>
      <c r="AO128" s="109"/>
      <c r="AP128" s="335">
        <v>20</v>
      </c>
      <c r="AQ128" s="188"/>
      <c r="AR128" s="275" t="e">
        <f t="shared" ca="1" si="76"/>
        <v>#N/A</v>
      </c>
      <c r="AS128" s="264"/>
      <c r="AT128" s="44"/>
      <c r="AX128" s="28"/>
      <c r="AY128" s="38"/>
    </row>
    <row r="129" spans="1:51" s="8" customFormat="1" ht="24" customHeight="1" x14ac:dyDescent="0.35">
      <c r="A129" s="11"/>
      <c r="B129" s="18"/>
      <c r="C129" s="18"/>
      <c r="D129" s="248">
        <v>156</v>
      </c>
      <c r="E129" s="185">
        <v>5085</v>
      </c>
      <c r="F129" s="249">
        <v>0.81597222222222499</v>
      </c>
      <c r="G129" s="249">
        <v>0.83888888888888902</v>
      </c>
      <c r="H129" s="378" t="str">
        <f t="shared" ca="1" si="77"/>
        <v>Ruben</v>
      </c>
      <c r="I129" s="378"/>
      <c r="J129" s="379"/>
      <c r="L129" s="56"/>
      <c r="M129" s="144">
        <v>16</v>
      </c>
      <c r="N129" s="194" t="str">
        <f t="shared" ca="1" si="74"/>
        <v>Koala</v>
      </c>
      <c r="O129" s="227">
        <f>+O125+2</f>
        <v>4728</v>
      </c>
      <c r="P129" s="198"/>
      <c r="Q129" s="138">
        <f>+Q125+"00:40"</f>
        <v>0.66111111111111109</v>
      </c>
      <c r="R129" s="166">
        <f>Q129+"00:04"</f>
        <v>0.66388888888888886</v>
      </c>
      <c r="S129" s="166">
        <f>R129+"00:04"</f>
        <v>0.66666666666666663</v>
      </c>
      <c r="T129" s="166">
        <f t="shared" ref="T129:V129" si="113">S129+"00:04"</f>
        <v>0.6694444444444444</v>
      </c>
      <c r="U129" s="166">
        <f>T129+"00:01"</f>
        <v>0.67013888888888884</v>
      </c>
      <c r="V129" s="166">
        <f t="shared" si="113"/>
        <v>0.67291666666666661</v>
      </c>
      <c r="W129" s="166">
        <f>V129+"00:01"</f>
        <v>0.67361111111111105</v>
      </c>
      <c r="X129" s="279">
        <f>W129+"00:02"</f>
        <v>0.67499999999999993</v>
      </c>
      <c r="Y129" s="160">
        <f t="shared" si="93"/>
        <v>0.6777777777777777</v>
      </c>
      <c r="Z129" s="160">
        <f t="shared" si="105"/>
        <v>0.67986111111111103</v>
      </c>
      <c r="AA129" s="160">
        <f t="shared" si="105"/>
        <v>0.68194444444444435</v>
      </c>
      <c r="AB129" s="160">
        <f t="shared" si="112"/>
        <v>0.68472222222222212</v>
      </c>
      <c r="AC129" s="160">
        <f t="shared" si="95"/>
        <v>0.68819444444444433</v>
      </c>
      <c r="AD129" s="160">
        <f t="shared" si="96"/>
        <v>0.68958333333333321</v>
      </c>
      <c r="AE129" s="160">
        <f t="shared" si="97"/>
        <v>0.69166666666666654</v>
      </c>
      <c r="AF129" s="160">
        <f t="shared" si="107"/>
        <v>0.69305555555555542</v>
      </c>
      <c r="AG129" s="160">
        <f t="shared" si="107"/>
        <v>0.69444444444444431</v>
      </c>
      <c r="AH129" s="160">
        <f t="shared" si="108"/>
        <v>0.69513888888888875</v>
      </c>
      <c r="AI129" s="161">
        <f t="shared" si="108"/>
        <v>0.69583333333333319</v>
      </c>
      <c r="AJ129" s="160">
        <f t="shared" si="108"/>
        <v>0.69652777777777763</v>
      </c>
      <c r="AK129" s="160">
        <f t="shared" si="108"/>
        <v>0.69722222222222208</v>
      </c>
      <c r="AL129" s="160">
        <f t="shared" si="98"/>
        <v>0.6993055555555554</v>
      </c>
      <c r="AM129" s="160">
        <f t="shared" si="99"/>
        <v>0.70069444444444429</v>
      </c>
      <c r="AN129" s="126">
        <f t="shared" si="100"/>
        <v>0.70138888888888873</v>
      </c>
      <c r="AO129" s="109"/>
      <c r="AP129" s="335">
        <v>22</v>
      </c>
      <c r="AQ129" s="188"/>
      <c r="AR129" s="275" t="e">
        <f t="shared" ca="1" si="76"/>
        <v>#N/A</v>
      </c>
      <c r="AS129" s="264"/>
      <c r="AT129" s="44"/>
      <c r="AY129" s="38"/>
    </row>
    <row r="130" spans="1:51" s="8" customFormat="1" ht="24" customHeight="1" x14ac:dyDescent="0.35">
      <c r="A130" s="11"/>
      <c r="B130" s="18"/>
      <c r="C130" s="18"/>
      <c r="D130" s="246">
        <v>202</v>
      </c>
      <c r="E130" s="22">
        <v>5087</v>
      </c>
      <c r="F130" s="247">
        <v>0.82986111111111405</v>
      </c>
      <c r="G130" s="247">
        <v>0.85277777777777797</v>
      </c>
      <c r="H130" s="376" t="str">
        <f t="shared" ca="1" si="77"/>
        <v>Gomila</v>
      </c>
      <c r="I130" s="376"/>
      <c r="J130" s="377"/>
      <c r="L130" s="56"/>
      <c r="M130" s="144">
        <v>36</v>
      </c>
      <c r="N130" s="194" t="str">
        <f t="shared" ca="1" si="74"/>
        <v>C, Jaume</v>
      </c>
      <c r="O130" s="226">
        <f>+O128+2</f>
        <v>4544</v>
      </c>
      <c r="P130" s="199"/>
      <c r="Q130" s="134"/>
      <c r="R130" s="128"/>
      <c r="S130" s="128"/>
      <c r="T130" s="128"/>
      <c r="U130" s="128"/>
      <c r="V130" s="128"/>
      <c r="W130" s="166"/>
      <c r="X130" s="280">
        <f>+X128+"00:20"</f>
        <v>0.68194444444444413</v>
      </c>
      <c r="Y130" s="162">
        <f t="shared" si="93"/>
        <v>0.6847222222222219</v>
      </c>
      <c r="Z130" s="162">
        <f t="shared" si="105"/>
        <v>0.68680555555555522</v>
      </c>
      <c r="AA130" s="162">
        <f t="shared" si="105"/>
        <v>0.68888888888888855</v>
      </c>
      <c r="AB130" s="162">
        <f t="shared" ref="AB130:AB131" si="114">SUM(AA130+"00:04")</f>
        <v>0.69166666666666632</v>
      </c>
      <c r="AC130" s="162">
        <f t="shared" si="95"/>
        <v>0.69513888888888853</v>
      </c>
      <c r="AD130" s="162">
        <f t="shared" si="96"/>
        <v>0.69652777777777741</v>
      </c>
      <c r="AE130" s="162">
        <f t="shared" si="97"/>
        <v>0.69861111111111074</v>
      </c>
      <c r="AF130" s="162">
        <f t="shared" si="107"/>
        <v>0.69999999999999962</v>
      </c>
      <c r="AG130" s="162">
        <f t="shared" si="107"/>
        <v>0.70138888888888851</v>
      </c>
      <c r="AH130" s="162">
        <f t="shared" si="108"/>
        <v>0.70208333333333295</v>
      </c>
      <c r="AI130" s="163">
        <f t="shared" si="108"/>
        <v>0.70277777777777739</v>
      </c>
      <c r="AJ130" s="162">
        <f t="shared" si="108"/>
        <v>0.70347222222222183</v>
      </c>
      <c r="AK130" s="162">
        <f t="shared" si="108"/>
        <v>0.70416666666666627</v>
      </c>
      <c r="AL130" s="162">
        <f t="shared" si="98"/>
        <v>0.7062499999999996</v>
      </c>
      <c r="AM130" s="162">
        <f t="shared" si="99"/>
        <v>0.70763888888888848</v>
      </c>
      <c r="AN130" s="129">
        <f t="shared" si="100"/>
        <v>0.70833333333333293</v>
      </c>
      <c r="AO130" s="109"/>
      <c r="AP130" s="336">
        <v>24</v>
      </c>
      <c r="AQ130" s="190"/>
      <c r="AR130" s="275" t="e">
        <f t="shared" ca="1" si="76"/>
        <v>#N/A</v>
      </c>
      <c r="AS130" s="267"/>
      <c r="AT130" s="43"/>
      <c r="AU130" s="39"/>
      <c r="AV130" s="40"/>
      <c r="AW130" s="41"/>
      <c r="AX130" s="42"/>
      <c r="AY130" s="38"/>
    </row>
    <row r="131" spans="1:51" s="8" customFormat="1" ht="24" customHeight="1" x14ac:dyDescent="0.45">
      <c r="A131" s="11"/>
      <c r="B131" s="18"/>
      <c r="C131" s="18"/>
      <c r="D131" s="248">
        <v>157</v>
      </c>
      <c r="E131" s="185">
        <v>5089</v>
      </c>
      <c r="F131" s="249">
        <v>0.843750000000002</v>
      </c>
      <c r="G131" s="249">
        <v>0.86666666666666703</v>
      </c>
      <c r="H131" s="378" t="str">
        <f t="shared" ca="1" si="77"/>
        <v xml:space="preserve">T. Martinez </v>
      </c>
      <c r="I131" s="378"/>
      <c r="J131" s="379"/>
      <c r="L131" s="56"/>
      <c r="M131" s="144">
        <v>14</v>
      </c>
      <c r="N131" s="194" t="e">
        <f t="shared" ca="1" si="74"/>
        <v>#N/A</v>
      </c>
      <c r="O131" s="228">
        <f>+O127+2</f>
        <v>4928</v>
      </c>
      <c r="P131" s="200">
        <f>P127+"00:40"</f>
        <v>0.66388888888888897</v>
      </c>
      <c r="Q131" s="133">
        <f>+P131+"00:10"</f>
        <v>0.67083333333333339</v>
      </c>
      <c r="R131" s="166">
        <f>+Q131+"00:05"</f>
        <v>0.6743055555555556</v>
      </c>
      <c r="S131" s="166">
        <f>+R131+"00:04"</f>
        <v>0.67708333333333337</v>
      </c>
      <c r="T131" s="166">
        <f>+S131+"00:8"</f>
        <v>0.68263888888888891</v>
      </c>
      <c r="U131" s="166">
        <f>+T131+"00:00"</f>
        <v>0.68263888888888891</v>
      </c>
      <c r="V131" s="166">
        <f>+U131+"00:04"</f>
        <v>0.68541666666666667</v>
      </c>
      <c r="W131" s="166">
        <f>+V131+"00:01"</f>
        <v>0.68611111111111112</v>
      </c>
      <c r="X131" s="279">
        <f>+W131+"00:02"</f>
        <v>0.6875</v>
      </c>
      <c r="Y131" s="160">
        <f t="shared" si="93"/>
        <v>0.69027777777777777</v>
      </c>
      <c r="Z131" s="160">
        <f t="shared" si="105"/>
        <v>0.69236111111111109</v>
      </c>
      <c r="AA131" s="160">
        <f t="shared" si="105"/>
        <v>0.69444444444444442</v>
      </c>
      <c r="AB131" s="160">
        <f t="shared" si="114"/>
        <v>0.69722222222222219</v>
      </c>
      <c r="AC131" s="160">
        <f t="shared" si="95"/>
        <v>0.7006944444444444</v>
      </c>
      <c r="AD131" s="160">
        <f t="shared" si="96"/>
        <v>0.70208333333333328</v>
      </c>
      <c r="AE131" s="160">
        <f t="shared" si="97"/>
        <v>0.70416666666666661</v>
      </c>
      <c r="AF131" s="160">
        <f t="shared" si="107"/>
        <v>0.70555555555555549</v>
      </c>
      <c r="AG131" s="160">
        <f t="shared" si="107"/>
        <v>0.70694444444444438</v>
      </c>
      <c r="AH131" s="160">
        <f t="shared" si="108"/>
        <v>0.70763888888888882</v>
      </c>
      <c r="AI131" s="161">
        <f t="shared" si="108"/>
        <v>0.70833333333333326</v>
      </c>
      <c r="AJ131" s="160">
        <f t="shared" si="108"/>
        <v>0.7090277777777777</v>
      </c>
      <c r="AK131" s="160">
        <f t="shared" si="108"/>
        <v>0.70972222222222214</v>
      </c>
      <c r="AL131" s="160">
        <f t="shared" si="98"/>
        <v>0.71180555555555547</v>
      </c>
      <c r="AM131" s="160">
        <f t="shared" si="99"/>
        <v>0.71319444444444435</v>
      </c>
      <c r="AN131" s="131">
        <f t="shared" si="100"/>
        <v>0.7138888888888888</v>
      </c>
      <c r="AO131" s="109"/>
      <c r="AP131" s="257"/>
      <c r="AR131" s="276"/>
      <c r="AS131" s="257"/>
      <c r="AT131" s="44"/>
      <c r="AU131" s="39"/>
      <c r="AV131" s="40"/>
      <c r="AW131" s="41"/>
      <c r="AX131" s="42"/>
      <c r="AY131" s="38"/>
    </row>
    <row r="132" spans="1:51" s="8" customFormat="1" ht="24" customHeight="1" x14ac:dyDescent="0.45">
      <c r="A132" s="11"/>
      <c r="B132" s="18"/>
      <c r="C132" s="18"/>
      <c r="D132" s="246">
        <v>102</v>
      </c>
      <c r="E132" s="22">
        <v>5091</v>
      </c>
      <c r="F132" s="247">
        <v>0.85763888888889195</v>
      </c>
      <c r="G132" s="247">
        <v>0.88055555555555598</v>
      </c>
      <c r="H132" s="376" t="str">
        <f t="shared" ca="1" si="77"/>
        <v>Miguel Bosch</v>
      </c>
      <c r="I132" s="376"/>
      <c r="J132" s="377"/>
      <c r="L132" s="56"/>
      <c r="M132" s="144">
        <v>156</v>
      </c>
      <c r="N132" s="194" t="str">
        <f t="shared" ca="1" si="74"/>
        <v>Ruben</v>
      </c>
      <c r="O132" s="226">
        <f>+O130+2</f>
        <v>4546</v>
      </c>
      <c r="P132" s="201"/>
      <c r="Q132" s="136"/>
      <c r="R132" s="132"/>
      <c r="S132" s="132"/>
      <c r="T132" s="132"/>
      <c r="U132" s="132"/>
      <c r="V132" s="132"/>
      <c r="W132" s="168"/>
      <c r="X132" s="281">
        <f>+X130+"00:20"</f>
        <v>0.69583333333333297</v>
      </c>
      <c r="Y132" s="160">
        <f t="shared" si="93"/>
        <v>0.69861111111111074</v>
      </c>
      <c r="Z132" s="160">
        <f t="shared" si="105"/>
        <v>0.70069444444444406</v>
      </c>
      <c r="AA132" s="160">
        <f t="shared" si="105"/>
        <v>0.70277777777777739</v>
      </c>
      <c r="AB132" s="160">
        <f t="shared" ref="AB132:AB133" si="115">SUM(AA132+"00:04")</f>
        <v>0.70555555555555516</v>
      </c>
      <c r="AC132" s="160">
        <f t="shared" si="95"/>
        <v>0.70902777777777737</v>
      </c>
      <c r="AD132" s="160">
        <f t="shared" si="96"/>
        <v>0.71041666666666625</v>
      </c>
      <c r="AE132" s="160">
        <f t="shared" si="97"/>
        <v>0.71249999999999958</v>
      </c>
      <c r="AF132" s="160">
        <f t="shared" si="107"/>
        <v>0.71388888888888846</v>
      </c>
      <c r="AG132" s="160">
        <f t="shared" si="107"/>
        <v>0.71527777777777735</v>
      </c>
      <c r="AH132" s="160">
        <f t="shared" si="108"/>
        <v>0.71597222222222179</v>
      </c>
      <c r="AI132" s="161">
        <f t="shared" si="108"/>
        <v>0.71666666666666623</v>
      </c>
      <c r="AJ132" s="160">
        <f t="shared" si="108"/>
        <v>0.71736111111111067</v>
      </c>
      <c r="AK132" s="160">
        <f t="shared" si="108"/>
        <v>0.71805555555555511</v>
      </c>
      <c r="AL132" s="160">
        <f t="shared" si="98"/>
        <v>0.72013888888888844</v>
      </c>
      <c r="AM132" s="160">
        <f t="shared" si="99"/>
        <v>0.72152777777777732</v>
      </c>
      <c r="AN132" s="124">
        <f t="shared" si="100"/>
        <v>0.72222222222222177</v>
      </c>
      <c r="AO132" s="109"/>
      <c r="AP132" s="257"/>
      <c r="AR132" s="276"/>
      <c r="AS132" s="268"/>
      <c r="AT132" s="43"/>
      <c r="AU132" s="39"/>
      <c r="AV132" s="40"/>
      <c r="AW132" s="41"/>
      <c r="AX132" s="42"/>
      <c r="AY132" s="38"/>
    </row>
    <row r="133" spans="1:51" s="8" customFormat="1" ht="24" customHeight="1" x14ac:dyDescent="0.45">
      <c r="A133" s="11"/>
      <c r="B133" s="18"/>
      <c r="C133" s="18"/>
      <c r="D133" s="248">
        <v>12</v>
      </c>
      <c r="E133" s="185">
        <v>5093</v>
      </c>
      <c r="F133" s="249">
        <v>0.87152777777778101</v>
      </c>
      <c r="G133" s="249">
        <v>0.89444444444444504</v>
      </c>
      <c r="H133" s="378" t="str">
        <f t="shared" ca="1" si="77"/>
        <v>Iniesta</v>
      </c>
      <c r="I133" s="378"/>
      <c r="J133" s="379"/>
      <c r="L133" s="56"/>
      <c r="M133" s="144">
        <v>35</v>
      </c>
      <c r="N133" s="194" t="str">
        <f t="shared" ca="1" si="74"/>
        <v>Juanjo</v>
      </c>
      <c r="O133" s="227">
        <f>+O129+2</f>
        <v>4730</v>
      </c>
      <c r="P133" s="198"/>
      <c r="Q133" s="138">
        <f>+Q129+"00:40"</f>
        <v>0.68888888888888888</v>
      </c>
      <c r="R133" s="166">
        <f>Q133+"00:04"</f>
        <v>0.69166666666666665</v>
      </c>
      <c r="S133" s="166">
        <f>R133+"00:04"</f>
        <v>0.69444444444444442</v>
      </c>
      <c r="T133" s="166">
        <f t="shared" ref="T133:V133" si="116">S133+"00:04"</f>
        <v>0.69722222222222219</v>
      </c>
      <c r="U133" s="166">
        <f>T133+"00:01"</f>
        <v>0.69791666666666663</v>
      </c>
      <c r="V133" s="166">
        <f t="shared" si="116"/>
        <v>0.7006944444444444</v>
      </c>
      <c r="W133" s="166">
        <f>V133+"00:01"</f>
        <v>0.70138888888888884</v>
      </c>
      <c r="X133" s="279">
        <f>W133+"00:02"</f>
        <v>0.70277777777777772</v>
      </c>
      <c r="Y133" s="160">
        <f t="shared" si="93"/>
        <v>0.70555555555555549</v>
      </c>
      <c r="Z133" s="160">
        <f t="shared" si="105"/>
        <v>0.70763888888888882</v>
      </c>
      <c r="AA133" s="160">
        <f t="shared" si="105"/>
        <v>0.70972222222222214</v>
      </c>
      <c r="AB133" s="160">
        <f t="shared" si="115"/>
        <v>0.71249999999999991</v>
      </c>
      <c r="AC133" s="160">
        <f t="shared" si="95"/>
        <v>0.71597222222222212</v>
      </c>
      <c r="AD133" s="160">
        <f t="shared" si="96"/>
        <v>0.71736111111111101</v>
      </c>
      <c r="AE133" s="160">
        <f t="shared" si="97"/>
        <v>0.71944444444444433</v>
      </c>
      <c r="AF133" s="160">
        <f t="shared" si="107"/>
        <v>0.72083333333333321</v>
      </c>
      <c r="AG133" s="160">
        <f t="shared" si="107"/>
        <v>0.7222222222222221</v>
      </c>
      <c r="AH133" s="160">
        <f t="shared" si="108"/>
        <v>0.72291666666666654</v>
      </c>
      <c r="AI133" s="161">
        <f t="shared" si="108"/>
        <v>0.72361111111111098</v>
      </c>
      <c r="AJ133" s="160">
        <f t="shared" si="108"/>
        <v>0.72430555555555542</v>
      </c>
      <c r="AK133" s="160">
        <f t="shared" si="108"/>
        <v>0.72499999999999987</v>
      </c>
      <c r="AL133" s="160">
        <f t="shared" si="98"/>
        <v>0.72708333333333319</v>
      </c>
      <c r="AM133" s="160">
        <f t="shared" si="99"/>
        <v>0.72847222222222208</v>
      </c>
      <c r="AN133" s="126">
        <f t="shared" si="100"/>
        <v>0.72916666666666652</v>
      </c>
      <c r="AO133" s="109"/>
      <c r="AP133" s="257"/>
      <c r="AR133" s="276"/>
      <c r="AS133" s="268"/>
      <c r="AT133" s="44"/>
      <c r="AU133" s="39"/>
      <c r="AV133" s="40"/>
      <c r="AW133" s="41"/>
      <c r="AX133" s="42"/>
      <c r="AY133" s="38"/>
    </row>
    <row r="134" spans="1:51" s="8" customFormat="1" ht="24" customHeight="1" x14ac:dyDescent="0.45">
      <c r="A134" s="11"/>
      <c r="B134" s="18"/>
      <c r="C134" s="111"/>
      <c r="D134" s="246">
        <v>14</v>
      </c>
      <c r="E134" s="22">
        <v>5095</v>
      </c>
      <c r="F134" s="247">
        <v>0.88541666666666996</v>
      </c>
      <c r="G134" s="247">
        <v>0.90833333333333299</v>
      </c>
      <c r="H134" s="376" t="e">
        <f t="shared" ca="1" si="77"/>
        <v>#N/A</v>
      </c>
      <c r="I134" s="376"/>
      <c r="J134" s="377"/>
      <c r="L134" s="56"/>
      <c r="M134" s="144">
        <v>102</v>
      </c>
      <c r="N134" s="194" t="str">
        <f t="shared" ca="1" si="74"/>
        <v>Miguel Bosch</v>
      </c>
      <c r="O134" s="226">
        <f>+O132+2</f>
        <v>4548</v>
      </c>
      <c r="P134" s="199"/>
      <c r="Q134" s="134"/>
      <c r="R134" s="128"/>
      <c r="S134" s="128"/>
      <c r="T134" s="128"/>
      <c r="U134" s="128"/>
      <c r="V134" s="128"/>
      <c r="W134" s="166"/>
      <c r="X134" s="280">
        <f>+X132+"00:20"</f>
        <v>0.70972222222222181</v>
      </c>
      <c r="Y134" s="162">
        <f t="shared" si="93"/>
        <v>0.71249999999999958</v>
      </c>
      <c r="Z134" s="162">
        <f t="shared" si="105"/>
        <v>0.7145833333333329</v>
      </c>
      <c r="AA134" s="162">
        <f t="shared" si="105"/>
        <v>0.71666666666666623</v>
      </c>
      <c r="AB134" s="162">
        <f t="shared" ref="AB134:AB135" si="117">SUM(AA134+"00:04")</f>
        <v>0.719444444444444</v>
      </c>
      <c r="AC134" s="162">
        <f t="shared" si="95"/>
        <v>0.72291666666666621</v>
      </c>
      <c r="AD134" s="162">
        <f t="shared" si="96"/>
        <v>0.72430555555555509</v>
      </c>
      <c r="AE134" s="162">
        <f t="shared" si="97"/>
        <v>0.72638888888888842</v>
      </c>
      <c r="AF134" s="162">
        <f t="shared" si="107"/>
        <v>0.7277777777777773</v>
      </c>
      <c r="AG134" s="162">
        <f t="shared" si="107"/>
        <v>0.72916666666666619</v>
      </c>
      <c r="AH134" s="162">
        <f t="shared" si="108"/>
        <v>0.72986111111111063</v>
      </c>
      <c r="AI134" s="163">
        <f t="shared" si="108"/>
        <v>0.73055555555555507</v>
      </c>
      <c r="AJ134" s="162">
        <f t="shared" si="108"/>
        <v>0.73124999999999951</v>
      </c>
      <c r="AK134" s="162">
        <f t="shared" si="108"/>
        <v>0.73194444444444395</v>
      </c>
      <c r="AL134" s="162">
        <f t="shared" si="98"/>
        <v>0.73402777777777728</v>
      </c>
      <c r="AM134" s="162">
        <f t="shared" si="99"/>
        <v>0.73541666666666616</v>
      </c>
      <c r="AN134" s="129">
        <f t="shared" si="100"/>
        <v>0.73611111111111061</v>
      </c>
      <c r="AO134" s="109"/>
      <c r="AP134" s="257"/>
      <c r="AR134" s="276"/>
      <c r="AS134" s="268"/>
      <c r="AT134" s="43"/>
      <c r="AU134" s="39"/>
      <c r="AV134" s="40"/>
      <c r="AW134" s="41"/>
      <c r="AX134" s="42"/>
      <c r="AY134" s="38"/>
    </row>
    <row r="135" spans="1:51" s="8" customFormat="1" ht="24" customHeight="1" thickBot="1" x14ac:dyDescent="0.5">
      <c r="A135" s="11"/>
      <c r="B135" s="18"/>
      <c r="C135" s="112"/>
      <c r="D135" s="252">
        <v>18</v>
      </c>
      <c r="E135" s="253">
        <v>5097</v>
      </c>
      <c r="F135" s="254">
        <v>0.89930555555555802</v>
      </c>
      <c r="G135" s="254">
        <v>0.92222222222222205</v>
      </c>
      <c r="H135" s="378" t="str">
        <f t="shared" ref="H135" ca="1" si="118">VLOOKUP(D135,$AR$2:$AS$80,2,FALSE)</f>
        <v>Rigo</v>
      </c>
      <c r="I135" s="378"/>
      <c r="J135" s="379"/>
      <c r="L135" s="56"/>
      <c r="M135" s="144">
        <v>18</v>
      </c>
      <c r="N135" s="194" t="str">
        <f t="shared" ca="1" si="74"/>
        <v>Rigo</v>
      </c>
      <c r="O135" s="228">
        <f>+O131+2</f>
        <v>4930</v>
      </c>
      <c r="P135" s="200">
        <f>P131+"00:40"</f>
        <v>0.69166666666666676</v>
      </c>
      <c r="Q135" s="133">
        <f>+P135+"00:12"</f>
        <v>0.70000000000000007</v>
      </c>
      <c r="R135" s="166">
        <f>+Q135+"00:05"</f>
        <v>0.70347222222222228</v>
      </c>
      <c r="S135" s="166">
        <f>+R135+"00:04"</f>
        <v>0.70625000000000004</v>
      </c>
      <c r="T135" s="166">
        <f>+S135+"00:8"</f>
        <v>0.71180555555555558</v>
      </c>
      <c r="U135" s="166">
        <f>+T135+"00:00"</f>
        <v>0.71180555555555558</v>
      </c>
      <c r="V135" s="166">
        <f>+U135+"00:04"</f>
        <v>0.71458333333333335</v>
      </c>
      <c r="W135" s="166">
        <f>+V135+"00:01"</f>
        <v>0.71527777777777779</v>
      </c>
      <c r="X135" s="279">
        <f>+W135+"00:02"</f>
        <v>0.71666666666666667</v>
      </c>
      <c r="Y135" s="160">
        <f t="shared" si="93"/>
        <v>0.71944444444444444</v>
      </c>
      <c r="Z135" s="160">
        <f t="shared" si="105"/>
        <v>0.72152777777777777</v>
      </c>
      <c r="AA135" s="160">
        <f t="shared" si="105"/>
        <v>0.72361111111111109</v>
      </c>
      <c r="AB135" s="160">
        <f t="shared" si="117"/>
        <v>0.72638888888888886</v>
      </c>
      <c r="AC135" s="160">
        <f t="shared" si="95"/>
        <v>0.72986111111111107</v>
      </c>
      <c r="AD135" s="160">
        <f t="shared" si="96"/>
        <v>0.73124999999999996</v>
      </c>
      <c r="AE135" s="160">
        <f t="shared" si="97"/>
        <v>0.73333333333333328</v>
      </c>
      <c r="AF135" s="160">
        <f t="shared" si="107"/>
        <v>0.73472222222222217</v>
      </c>
      <c r="AG135" s="160">
        <f t="shared" si="107"/>
        <v>0.73611111111111105</v>
      </c>
      <c r="AH135" s="160">
        <f t="shared" si="108"/>
        <v>0.73680555555555549</v>
      </c>
      <c r="AI135" s="161">
        <f t="shared" si="108"/>
        <v>0.73749999999999993</v>
      </c>
      <c r="AJ135" s="160">
        <f t="shared" si="108"/>
        <v>0.73819444444444438</v>
      </c>
      <c r="AK135" s="160">
        <f t="shared" si="108"/>
        <v>0.73888888888888882</v>
      </c>
      <c r="AL135" s="160">
        <f t="shared" si="98"/>
        <v>0.74097222222222214</v>
      </c>
      <c r="AM135" s="160">
        <f t="shared" si="99"/>
        <v>0.74236111111111103</v>
      </c>
      <c r="AN135" s="131">
        <f t="shared" si="100"/>
        <v>0.74305555555555547</v>
      </c>
      <c r="AO135" s="109"/>
      <c r="AP135" s="257"/>
      <c r="AR135" s="276"/>
      <c r="AS135" s="268"/>
      <c r="AT135" s="44"/>
      <c r="AU135" s="39"/>
      <c r="AV135" s="40"/>
      <c r="AW135" s="41"/>
      <c r="AX135" s="42"/>
      <c r="AY135" s="38"/>
    </row>
    <row r="136" spans="1:51" s="8" customFormat="1" ht="24" customHeight="1" x14ac:dyDescent="0.45">
      <c r="A136" s="11"/>
      <c r="B136" s="31"/>
      <c r="C136" s="62"/>
      <c r="D136" s="62"/>
      <c r="E136" s="62"/>
      <c r="F136" s="62"/>
      <c r="G136" s="63"/>
      <c r="H136" s="62"/>
      <c r="I136" s="62"/>
      <c r="J136" s="62"/>
      <c r="K136" s="62"/>
      <c r="L136" s="56"/>
      <c r="M136" s="144">
        <v>12</v>
      </c>
      <c r="N136" s="194" t="str">
        <f t="shared" ca="1" si="74"/>
        <v>Iniesta</v>
      </c>
      <c r="O136" s="226">
        <f>+O134+2</f>
        <v>4550</v>
      </c>
      <c r="P136" s="201"/>
      <c r="Q136" s="136"/>
      <c r="R136" s="132"/>
      <c r="S136" s="132"/>
      <c r="T136" s="132"/>
      <c r="U136" s="132"/>
      <c r="V136" s="132"/>
      <c r="W136" s="168"/>
      <c r="X136" s="281">
        <f>+X134+"00:20"</f>
        <v>0.72361111111111065</v>
      </c>
      <c r="Y136" s="160">
        <f t="shared" si="93"/>
        <v>0.72638888888888842</v>
      </c>
      <c r="Z136" s="160">
        <f t="shared" si="105"/>
        <v>0.72847222222222174</v>
      </c>
      <c r="AA136" s="160">
        <f t="shared" si="105"/>
        <v>0.73055555555555507</v>
      </c>
      <c r="AB136" s="160">
        <f t="shared" ref="AB136:AB137" si="119">SUM(AA136+"00:04")</f>
        <v>0.73333333333333284</v>
      </c>
      <c r="AC136" s="160">
        <f t="shared" si="95"/>
        <v>0.73680555555555505</v>
      </c>
      <c r="AD136" s="160">
        <f t="shared" si="96"/>
        <v>0.73819444444444393</v>
      </c>
      <c r="AE136" s="160">
        <f t="shared" si="97"/>
        <v>0.74027777777777726</v>
      </c>
      <c r="AF136" s="160">
        <f t="shared" si="107"/>
        <v>0.74166666666666614</v>
      </c>
      <c r="AG136" s="160">
        <f t="shared" si="107"/>
        <v>0.74305555555555503</v>
      </c>
      <c r="AH136" s="160">
        <f t="shared" si="108"/>
        <v>0.74374999999999947</v>
      </c>
      <c r="AI136" s="161">
        <f t="shared" si="108"/>
        <v>0.74444444444444391</v>
      </c>
      <c r="AJ136" s="160">
        <f t="shared" si="108"/>
        <v>0.74513888888888835</v>
      </c>
      <c r="AK136" s="160">
        <f t="shared" si="108"/>
        <v>0.74583333333333279</v>
      </c>
      <c r="AL136" s="160">
        <f t="shared" si="98"/>
        <v>0.74791666666666612</v>
      </c>
      <c r="AM136" s="160">
        <f t="shared" si="99"/>
        <v>0.749305555555555</v>
      </c>
      <c r="AN136" s="124">
        <f t="shared" si="100"/>
        <v>0.74999999999999944</v>
      </c>
      <c r="AO136" s="109"/>
      <c r="AP136" s="257"/>
      <c r="AR136" s="276"/>
      <c r="AS136" s="268"/>
      <c r="AT136" s="44"/>
      <c r="AU136" s="39"/>
      <c r="AV136" s="40"/>
      <c r="AW136" s="41"/>
      <c r="AX136" s="42"/>
      <c r="AY136" s="38"/>
    </row>
    <row r="137" spans="1:51" s="8" customFormat="1" ht="24" customHeight="1" x14ac:dyDescent="0.45">
      <c r="A137" s="1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56"/>
      <c r="M137" s="144">
        <v>13</v>
      </c>
      <c r="N137" s="194" t="str">
        <f t="shared" ca="1" si="74"/>
        <v>Florit</v>
      </c>
      <c r="O137" s="227">
        <f>+O133+2</f>
        <v>4732</v>
      </c>
      <c r="P137" s="198"/>
      <c r="Q137" s="138">
        <f>+Q133+"00:40"</f>
        <v>0.71666666666666667</v>
      </c>
      <c r="R137" s="166">
        <f>Q137+"00:04"</f>
        <v>0.71944444444444444</v>
      </c>
      <c r="S137" s="166">
        <f>R137+"00:04"</f>
        <v>0.72222222222222221</v>
      </c>
      <c r="T137" s="166">
        <f t="shared" ref="T137:V137" si="120">S137+"00:04"</f>
        <v>0.72499999999999998</v>
      </c>
      <c r="U137" s="166">
        <f>T137+"00:01"</f>
        <v>0.72569444444444442</v>
      </c>
      <c r="V137" s="166">
        <f t="shared" si="120"/>
        <v>0.72847222222222219</v>
      </c>
      <c r="W137" s="166">
        <f>V137+"00:01"</f>
        <v>0.72916666666666663</v>
      </c>
      <c r="X137" s="279">
        <f>W137+"00:02"</f>
        <v>0.73055555555555551</v>
      </c>
      <c r="Y137" s="160">
        <f t="shared" si="93"/>
        <v>0.73333333333333328</v>
      </c>
      <c r="Z137" s="160">
        <f t="shared" si="105"/>
        <v>0.73541666666666661</v>
      </c>
      <c r="AA137" s="160">
        <f t="shared" si="105"/>
        <v>0.73749999999999993</v>
      </c>
      <c r="AB137" s="160">
        <f t="shared" si="119"/>
        <v>0.7402777777777777</v>
      </c>
      <c r="AC137" s="160">
        <f t="shared" si="95"/>
        <v>0.74374999999999991</v>
      </c>
      <c r="AD137" s="160">
        <f t="shared" si="96"/>
        <v>0.7451388888888888</v>
      </c>
      <c r="AE137" s="160">
        <f t="shared" si="97"/>
        <v>0.74722222222222212</v>
      </c>
      <c r="AF137" s="160">
        <f t="shared" si="107"/>
        <v>0.74861111111111101</v>
      </c>
      <c r="AG137" s="160">
        <f t="shared" si="107"/>
        <v>0.74999999999999989</v>
      </c>
      <c r="AH137" s="160">
        <f t="shared" si="108"/>
        <v>0.75069444444444433</v>
      </c>
      <c r="AI137" s="161">
        <f t="shared" si="108"/>
        <v>0.75138888888888877</v>
      </c>
      <c r="AJ137" s="160">
        <f t="shared" si="108"/>
        <v>0.75208333333333321</v>
      </c>
      <c r="AK137" s="160">
        <f t="shared" si="108"/>
        <v>0.75277777777777766</v>
      </c>
      <c r="AL137" s="160">
        <f t="shared" si="98"/>
        <v>0.75486111111111098</v>
      </c>
      <c r="AM137" s="160">
        <f t="shared" si="99"/>
        <v>0.75624999999999987</v>
      </c>
      <c r="AN137" s="126">
        <f t="shared" si="100"/>
        <v>0.75694444444444431</v>
      </c>
      <c r="AO137" s="109"/>
      <c r="AP137" s="257"/>
      <c r="AR137" s="276"/>
      <c r="AS137" s="268"/>
      <c r="AT137" s="44"/>
      <c r="AU137" s="39"/>
      <c r="AV137" s="40"/>
      <c r="AW137" s="41"/>
      <c r="AX137" s="42"/>
      <c r="AY137" s="38"/>
    </row>
    <row r="138" spans="1:51" s="8" customFormat="1" ht="24" customHeight="1" x14ac:dyDescent="0.45">
      <c r="A138" s="1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56"/>
      <c r="M138" s="144">
        <v>17</v>
      </c>
      <c r="N138" s="194" t="str">
        <f t="shared" ca="1" si="74"/>
        <v xml:space="preserve">Lucio </v>
      </c>
      <c r="O138" s="226">
        <f>+O136+2</f>
        <v>4552</v>
      </c>
      <c r="P138" s="199"/>
      <c r="Q138" s="134"/>
      <c r="R138" s="128"/>
      <c r="S138" s="128"/>
      <c r="T138" s="128"/>
      <c r="U138" s="128"/>
      <c r="V138" s="128"/>
      <c r="W138" s="166"/>
      <c r="X138" s="280">
        <f>+X136+"00:20"</f>
        <v>0.73749999999999949</v>
      </c>
      <c r="Y138" s="162">
        <f t="shared" si="93"/>
        <v>0.74027777777777726</v>
      </c>
      <c r="Z138" s="162">
        <f t="shared" si="105"/>
        <v>0.74236111111111058</v>
      </c>
      <c r="AA138" s="162">
        <f t="shared" si="105"/>
        <v>0.74444444444444391</v>
      </c>
      <c r="AB138" s="162">
        <f t="shared" ref="AB138:AB139" si="121">SUM(AA138+"00:04")</f>
        <v>0.74722222222222168</v>
      </c>
      <c r="AC138" s="162">
        <f t="shared" si="95"/>
        <v>0.75069444444444389</v>
      </c>
      <c r="AD138" s="162">
        <f t="shared" si="96"/>
        <v>0.75208333333333277</v>
      </c>
      <c r="AE138" s="162">
        <f t="shared" si="97"/>
        <v>0.7541666666666661</v>
      </c>
      <c r="AF138" s="162">
        <f t="shared" si="107"/>
        <v>0.75555555555555498</v>
      </c>
      <c r="AG138" s="162">
        <f t="shared" si="107"/>
        <v>0.75694444444444386</v>
      </c>
      <c r="AH138" s="162">
        <f t="shared" si="108"/>
        <v>0.75763888888888831</v>
      </c>
      <c r="AI138" s="163">
        <f t="shared" si="108"/>
        <v>0.75833333333333275</v>
      </c>
      <c r="AJ138" s="162">
        <f t="shared" si="108"/>
        <v>0.75902777777777719</v>
      </c>
      <c r="AK138" s="162">
        <f t="shared" si="108"/>
        <v>0.75972222222222163</v>
      </c>
      <c r="AL138" s="162">
        <f t="shared" si="98"/>
        <v>0.76180555555555496</v>
      </c>
      <c r="AM138" s="162">
        <f t="shared" si="99"/>
        <v>0.76319444444444384</v>
      </c>
      <c r="AN138" s="129">
        <f t="shared" si="100"/>
        <v>0.76388888888888828</v>
      </c>
      <c r="AO138" s="109"/>
      <c r="AP138" s="257"/>
      <c r="AR138" s="276"/>
      <c r="AS138" s="268"/>
      <c r="AT138" s="44"/>
      <c r="AU138" s="39"/>
      <c r="AV138" s="40"/>
      <c r="AW138" s="41"/>
      <c r="AX138" s="42"/>
      <c r="AY138" s="38"/>
    </row>
    <row r="139" spans="1:51" s="8" customFormat="1" ht="24" customHeight="1" x14ac:dyDescent="0.45">
      <c r="A139" s="1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56"/>
      <c r="M139" s="144">
        <v>202</v>
      </c>
      <c r="N139" s="194" t="str">
        <f t="shared" ca="1" si="74"/>
        <v>Gomila</v>
      </c>
      <c r="O139" s="228">
        <f>+O135+2</f>
        <v>4932</v>
      </c>
      <c r="P139" s="200">
        <f>P135+"00:40"</f>
        <v>0.71944444444444455</v>
      </c>
      <c r="Q139" s="133">
        <f>+P139+"00:12"</f>
        <v>0.72777777777777786</v>
      </c>
      <c r="R139" s="166">
        <f>+Q139+"00:05"</f>
        <v>0.73125000000000007</v>
      </c>
      <c r="S139" s="166">
        <f>+R139+"00:04"</f>
        <v>0.73402777777777783</v>
      </c>
      <c r="T139" s="166">
        <f>+S139+"00:8"</f>
        <v>0.73958333333333337</v>
      </c>
      <c r="U139" s="166">
        <f>+T139+"00:00"</f>
        <v>0.73958333333333337</v>
      </c>
      <c r="V139" s="166">
        <f>+U139+"00:04"</f>
        <v>0.74236111111111114</v>
      </c>
      <c r="W139" s="166">
        <f>+V139+"00:01"</f>
        <v>0.74305555555555558</v>
      </c>
      <c r="X139" s="279">
        <f>+W139+"00:02"</f>
        <v>0.74444444444444446</v>
      </c>
      <c r="Y139" s="160">
        <f t="shared" si="93"/>
        <v>0.74722222222222223</v>
      </c>
      <c r="Z139" s="160">
        <f t="shared" si="105"/>
        <v>0.74930555555555556</v>
      </c>
      <c r="AA139" s="160">
        <f t="shared" si="105"/>
        <v>0.75138888888888888</v>
      </c>
      <c r="AB139" s="160">
        <f t="shared" si="121"/>
        <v>0.75416666666666665</v>
      </c>
      <c r="AC139" s="160">
        <f t="shared" si="95"/>
        <v>0.75763888888888886</v>
      </c>
      <c r="AD139" s="160">
        <f t="shared" si="96"/>
        <v>0.75902777777777775</v>
      </c>
      <c r="AE139" s="160">
        <f t="shared" si="97"/>
        <v>0.76111111111111107</v>
      </c>
      <c r="AF139" s="160">
        <f t="shared" si="107"/>
        <v>0.76249999999999996</v>
      </c>
      <c r="AG139" s="160">
        <f t="shared" si="107"/>
        <v>0.76388888888888884</v>
      </c>
      <c r="AH139" s="160">
        <f t="shared" si="108"/>
        <v>0.76458333333333328</v>
      </c>
      <c r="AI139" s="161">
        <f t="shared" si="108"/>
        <v>0.76527777777777772</v>
      </c>
      <c r="AJ139" s="160">
        <f t="shared" si="108"/>
        <v>0.76597222222222217</v>
      </c>
      <c r="AK139" s="160">
        <f t="shared" si="108"/>
        <v>0.76666666666666661</v>
      </c>
      <c r="AL139" s="160">
        <f t="shared" si="98"/>
        <v>0.76874999999999993</v>
      </c>
      <c r="AM139" s="160">
        <f t="shared" si="99"/>
        <v>0.77013888888888882</v>
      </c>
      <c r="AN139" s="131">
        <f t="shared" si="100"/>
        <v>0.77083333333333326</v>
      </c>
      <c r="AO139" s="109"/>
      <c r="AP139" s="257"/>
      <c r="AR139" s="276"/>
      <c r="AS139" s="268"/>
      <c r="AT139" s="44"/>
      <c r="AU139" s="39"/>
      <c r="AV139" s="40"/>
      <c r="AW139" s="41"/>
      <c r="AX139" s="42"/>
      <c r="AY139" s="38"/>
    </row>
    <row r="140" spans="1:51" s="8" customFormat="1" ht="24" customHeight="1" x14ac:dyDescent="0.45">
      <c r="A140" s="1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56"/>
      <c r="M140" s="144">
        <v>19</v>
      </c>
      <c r="N140" s="194" t="str">
        <f t="shared" ca="1" si="74"/>
        <v xml:space="preserve">Campos </v>
      </c>
      <c r="O140" s="226">
        <f>+O138+2</f>
        <v>4554</v>
      </c>
      <c r="P140" s="201"/>
      <c r="Q140" s="136"/>
      <c r="R140" s="132"/>
      <c r="S140" s="132"/>
      <c r="T140" s="132"/>
      <c r="U140" s="132"/>
      <c r="V140" s="132"/>
      <c r="W140" s="168"/>
      <c r="X140" s="281">
        <f>+X138+"00:20"</f>
        <v>0.75138888888888833</v>
      </c>
      <c r="Y140" s="160">
        <f t="shared" si="93"/>
        <v>0.7541666666666661</v>
      </c>
      <c r="Z140" s="160">
        <f t="shared" si="105"/>
        <v>0.75624999999999942</v>
      </c>
      <c r="AA140" s="160">
        <f t="shared" si="105"/>
        <v>0.75833333333333275</v>
      </c>
      <c r="AB140" s="160">
        <f t="shared" ref="AB140:AB141" si="122">SUM(AA140+"00:04")</f>
        <v>0.76111111111111052</v>
      </c>
      <c r="AC140" s="160">
        <f t="shared" si="95"/>
        <v>0.76458333333333273</v>
      </c>
      <c r="AD140" s="160">
        <f t="shared" si="96"/>
        <v>0.76597222222222161</v>
      </c>
      <c r="AE140" s="160">
        <f t="shared" si="97"/>
        <v>0.76805555555555494</v>
      </c>
      <c r="AF140" s="160">
        <f t="shared" si="107"/>
        <v>0.76944444444444382</v>
      </c>
      <c r="AG140" s="160">
        <f t="shared" si="107"/>
        <v>0.7708333333333327</v>
      </c>
      <c r="AH140" s="160">
        <f t="shared" si="108"/>
        <v>0.77152777777777715</v>
      </c>
      <c r="AI140" s="161">
        <f t="shared" si="108"/>
        <v>0.77222222222222159</v>
      </c>
      <c r="AJ140" s="160">
        <f t="shared" si="108"/>
        <v>0.77291666666666603</v>
      </c>
      <c r="AK140" s="160">
        <f t="shared" si="108"/>
        <v>0.77361111111111047</v>
      </c>
      <c r="AL140" s="160">
        <f t="shared" si="98"/>
        <v>0.7756944444444438</v>
      </c>
      <c r="AM140" s="160">
        <f t="shared" si="99"/>
        <v>0.77708333333333268</v>
      </c>
      <c r="AN140" s="124">
        <f t="shared" si="100"/>
        <v>0.77777777777777712</v>
      </c>
      <c r="AO140" s="109"/>
      <c r="AP140" s="257"/>
      <c r="AR140" s="276"/>
      <c r="AS140" s="268"/>
      <c r="AT140" s="44"/>
      <c r="AU140" s="39"/>
      <c r="AV140" s="40"/>
      <c r="AW140" s="41"/>
      <c r="AX140" s="42"/>
      <c r="AY140" s="38"/>
    </row>
    <row r="141" spans="1:51" s="8" customFormat="1" ht="24" customHeight="1" x14ac:dyDescent="0.45">
      <c r="A141" s="1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56"/>
      <c r="M141" s="144">
        <v>15</v>
      </c>
      <c r="N141" s="194" t="str">
        <f t="shared" ca="1" si="74"/>
        <v>Tomeu Moya</v>
      </c>
      <c r="O141" s="227">
        <f>+O137+2</f>
        <v>4734</v>
      </c>
      <c r="P141" s="198"/>
      <c r="Q141" s="138">
        <f>+Q137+"00:40"</f>
        <v>0.74444444444444446</v>
      </c>
      <c r="R141" s="166">
        <f>Q141+"00:04"</f>
        <v>0.74722222222222223</v>
      </c>
      <c r="S141" s="166">
        <f>R141+"00:04"</f>
        <v>0.75</v>
      </c>
      <c r="T141" s="166">
        <f t="shared" ref="T141:V141" si="123">S141+"00:04"</f>
        <v>0.75277777777777777</v>
      </c>
      <c r="U141" s="166">
        <f>T141+"00:01"</f>
        <v>0.75347222222222221</v>
      </c>
      <c r="V141" s="166">
        <f t="shared" si="123"/>
        <v>0.75624999999999998</v>
      </c>
      <c r="W141" s="166">
        <f>V141+"00:01"</f>
        <v>0.75694444444444442</v>
      </c>
      <c r="X141" s="279">
        <f>W141+"00:02"</f>
        <v>0.7583333333333333</v>
      </c>
      <c r="Y141" s="160">
        <f t="shared" si="93"/>
        <v>0.76111111111111107</v>
      </c>
      <c r="Z141" s="160">
        <f t="shared" si="105"/>
        <v>0.7631944444444444</v>
      </c>
      <c r="AA141" s="160">
        <f t="shared" si="105"/>
        <v>0.76527777777777772</v>
      </c>
      <c r="AB141" s="160">
        <f t="shared" si="122"/>
        <v>0.76805555555555549</v>
      </c>
      <c r="AC141" s="160">
        <f t="shared" si="95"/>
        <v>0.7715277777777777</v>
      </c>
      <c r="AD141" s="160">
        <f t="shared" si="96"/>
        <v>0.77291666666666659</v>
      </c>
      <c r="AE141" s="160">
        <f t="shared" si="97"/>
        <v>0.77499999999999991</v>
      </c>
      <c r="AF141" s="160">
        <f t="shared" si="107"/>
        <v>0.7763888888888888</v>
      </c>
      <c r="AG141" s="160">
        <f t="shared" si="107"/>
        <v>0.77777777777777768</v>
      </c>
      <c r="AH141" s="160">
        <f t="shared" si="108"/>
        <v>0.77847222222222212</v>
      </c>
      <c r="AI141" s="161">
        <f t="shared" si="108"/>
        <v>0.77916666666666656</v>
      </c>
      <c r="AJ141" s="160">
        <f t="shared" si="108"/>
        <v>0.77986111111111101</v>
      </c>
      <c r="AK141" s="160">
        <f t="shared" si="108"/>
        <v>0.78055555555555545</v>
      </c>
      <c r="AL141" s="160">
        <f t="shared" si="98"/>
        <v>0.78263888888888877</v>
      </c>
      <c r="AM141" s="160">
        <f t="shared" si="99"/>
        <v>0.78402777777777766</v>
      </c>
      <c r="AN141" s="126">
        <f t="shared" si="100"/>
        <v>0.7847222222222221</v>
      </c>
      <c r="AO141" s="109"/>
      <c r="AP141" s="257"/>
      <c r="AR141" s="276"/>
      <c r="AS141" s="268"/>
      <c r="AT141" s="44"/>
      <c r="AU141" s="39"/>
      <c r="AV141" s="40"/>
      <c r="AW141" s="41"/>
      <c r="AX141" s="42"/>
      <c r="AY141" s="38"/>
    </row>
    <row r="142" spans="1:51" s="8" customFormat="1" ht="24" customHeight="1" x14ac:dyDescent="0.45">
      <c r="A142" s="11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56"/>
      <c r="M142" s="144">
        <v>36</v>
      </c>
      <c r="N142" s="194" t="str">
        <f t="shared" ca="1" si="74"/>
        <v>C, Jaume</v>
      </c>
      <c r="O142" s="226">
        <f>+O140+2</f>
        <v>4556</v>
      </c>
      <c r="P142" s="199"/>
      <c r="Q142" s="134"/>
      <c r="R142" s="128"/>
      <c r="S142" s="128"/>
      <c r="T142" s="128"/>
      <c r="U142" s="128"/>
      <c r="V142" s="128"/>
      <c r="W142" s="166"/>
      <c r="X142" s="280">
        <f>+X140+"00:20"</f>
        <v>0.76527777777777717</v>
      </c>
      <c r="Y142" s="162">
        <f t="shared" si="93"/>
        <v>0.76805555555555494</v>
      </c>
      <c r="Z142" s="162">
        <f t="shared" ref="Z142:AA155" si="124">SUM(Y142+"00:03")</f>
        <v>0.77013888888888826</v>
      </c>
      <c r="AA142" s="162">
        <f t="shared" si="124"/>
        <v>0.77222222222222159</v>
      </c>
      <c r="AB142" s="162">
        <f t="shared" ref="AB142:AB143" si="125">SUM(AA142+"00:04")</f>
        <v>0.77499999999999936</v>
      </c>
      <c r="AC142" s="162">
        <f t="shared" si="95"/>
        <v>0.77847222222222157</v>
      </c>
      <c r="AD142" s="162">
        <f t="shared" si="96"/>
        <v>0.77986111111111045</v>
      </c>
      <c r="AE142" s="162">
        <f t="shared" si="97"/>
        <v>0.78194444444444378</v>
      </c>
      <c r="AF142" s="162">
        <f t="shared" ref="AF142:AG155" si="126">SUM(AE142+"00:02")</f>
        <v>0.78333333333333266</v>
      </c>
      <c r="AG142" s="162">
        <f t="shared" si="126"/>
        <v>0.78472222222222154</v>
      </c>
      <c r="AH142" s="162">
        <f t="shared" ref="AH142:AK155" si="127">SUM(AG142+"00:01")</f>
        <v>0.78541666666666599</v>
      </c>
      <c r="AI142" s="163">
        <f t="shared" si="127"/>
        <v>0.78611111111111043</v>
      </c>
      <c r="AJ142" s="162">
        <f t="shared" si="127"/>
        <v>0.78680555555555487</v>
      </c>
      <c r="AK142" s="162">
        <f t="shared" si="127"/>
        <v>0.78749999999999931</v>
      </c>
      <c r="AL142" s="162">
        <f t="shared" si="98"/>
        <v>0.78958333333333264</v>
      </c>
      <c r="AM142" s="162">
        <f t="shared" si="99"/>
        <v>0.79097222222222152</v>
      </c>
      <c r="AN142" s="129">
        <f t="shared" si="100"/>
        <v>0.79166666666666596</v>
      </c>
      <c r="AO142" s="109"/>
      <c r="AP142" s="257"/>
      <c r="AR142" s="276"/>
      <c r="AS142" s="268"/>
      <c r="AT142" s="36"/>
      <c r="AU142" s="39"/>
      <c r="AV142" s="40"/>
      <c r="AW142" s="41"/>
      <c r="AX142" s="42"/>
      <c r="AY142" s="38"/>
    </row>
    <row r="143" spans="1:51" s="8" customFormat="1" ht="24" customHeight="1" x14ac:dyDescent="0.45">
      <c r="A143" s="11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56"/>
      <c r="M143" s="144">
        <v>157</v>
      </c>
      <c r="N143" s="194" t="str">
        <f t="shared" ca="1" si="74"/>
        <v xml:space="preserve">T. Martinez </v>
      </c>
      <c r="O143" s="228">
        <f>+O139+2</f>
        <v>4934</v>
      </c>
      <c r="P143" s="200">
        <f>P139+"00:40"</f>
        <v>0.74722222222222234</v>
      </c>
      <c r="Q143" s="133">
        <f>+P143+"00:12"</f>
        <v>0.75555555555555565</v>
      </c>
      <c r="R143" s="166">
        <f>+Q143+"00:05"</f>
        <v>0.75902777777777786</v>
      </c>
      <c r="S143" s="166">
        <f>+R143+"00:04"</f>
        <v>0.76180555555555562</v>
      </c>
      <c r="T143" s="166">
        <f>+S143+"00:8"</f>
        <v>0.76736111111111116</v>
      </c>
      <c r="U143" s="166">
        <f>+T143+"00:00"</f>
        <v>0.76736111111111116</v>
      </c>
      <c r="V143" s="166">
        <f>+U143+"00:04"</f>
        <v>0.77013888888888893</v>
      </c>
      <c r="W143" s="166">
        <f>+V143+"00:01"</f>
        <v>0.77083333333333337</v>
      </c>
      <c r="X143" s="279">
        <f>+W143+"00:02"</f>
        <v>0.77222222222222225</v>
      </c>
      <c r="Y143" s="160">
        <f t="shared" si="93"/>
        <v>0.77500000000000002</v>
      </c>
      <c r="Z143" s="160">
        <f t="shared" si="124"/>
        <v>0.77708333333333335</v>
      </c>
      <c r="AA143" s="160">
        <f t="shared" si="124"/>
        <v>0.77916666666666667</v>
      </c>
      <c r="AB143" s="160">
        <f t="shared" si="125"/>
        <v>0.78194444444444444</v>
      </c>
      <c r="AC143" s="160">
        <f t="shared" si="95"/>
        <v>0.78541666666666665</v>
      </c>
      <c r="AD143" s="160">
        <f t="shared" si="96"/>
        <v>0.78680555555555554</v>
      </c>
      <c r="AE143" s="160">
        <f t="shared" si="97"/>
        <v>0.78888888888888886</v>
      </c>
      <c r="AF143" s="160">
        <f t="shared" si="126"/>
        <v>0.79027777777777775</v>
      </c>
      <c r="AG143" s="160">
        <f t="shared" si="126"/>
        <v>0.79166666666666663</v>
      </c>
      <c r="AH143" s="160">
        <f t="shared" si="127"/>
        <v>0.79236111111111107</v>
      </c>
      <c r="AI143" s="161">
        <f t="shared" si="127"/>
        <v>0.79305555555555551</v>
      </c>
      <c r="AJ143" s="160">
        <f t="shared" si="127"/>
        <v>0.79374999999999996</v>
      </c>
      <c r="AK143" s="160">
        <f t="shared" si="127"/>
        <v>0.7944444444444444</v>
      </c>
      <c r="AL143" s="160">
        <f t="shared" si="98"/>
        <v>0.79652777777777772</v>
      </c>
      <c r="AM143" s="160">
        <f t="shared" si="99"/>
        <v>0.79791666666666661</v>
      </c>
      <c r="AN143" s="131">
        <f t="shared" si="100"/>
        <v>0.79861111111111105</v>
      </c>
      <c r="AO143" s="109"/>
      <c r="AP143" s="257"/>
      <c r="AR143" s="276"/>
      <c r="AS143" s="268"/>
      <c r="AT143" s="36"/>
      <c r="AU143" s="39"/>
      <c r="AV143" s="40"/>
      <c r="AW143" s="41"/>
      <c r="AX143" s="42"/>
      <c r="AY143" s="38"/>
    </row>
    <row r="144" spans="1:51" s="8" customFormat="1" ht="24" customHeight="1" x14ac:dyDescent="0.45">
      <c r="A144" s="11"/>
      <c r="B144" s="33"/>
      <c r="C144" s="31"/>
      <c r="D144" s="31"/>
      <c r="E144" s="30"/>
      <c r="F144" s="30"/>
      <c r="G144" s="30"/>
      <c r="H144" s="30"/>
      <c r="I144" s="31"/>
      <c r="J144" s="31"/>
      <c r="K144" s="31"/>
      <c r="L144" s="56"/>
      <c r="M144" s="144">
        <v>14</v>
      </c>
      <c r="N144" s="194" t="e">
        <f t="shared" ca="1" si="74"/>
        <v>#N/A</v>
      </c>
      <c r="O144" s="226">
        <f>+O142+2</f>
        <v>4558</v>
      </c>
      <c r="P144" s="207"/>
      <c r="Q144" s="136"/>
      <c r="R144" s="128"/>
      <c r="S144" s="128"/>
      <c r="T144" s="128"/>
      <c r="U144" s="128"/>
      <c r="V144" s="128"/>
      <c r="W144" s="166"/>
      <c r="X144" s="280">
        <f>+X142+"00:26"</f>
        <v>0.78333333333333277</v>
      </c>
      <c r="Y144" s="162">
        <f t="shared" si="93"/>
        <v>0.78611111111111054</v>
      </c>
      <c r="Z144" s="162">
        <f t="shared" si="124"/>
        <v>0.78819444444444386</v>
      </c>
      <c r="AA144" s="162">
        <f t="shared" si="124"/>
        <v>0.79027777777777719</v>
      </c>
      <c r="AB144" s="162">
        <f t="shared" ref="AB144:AB146" si="128">SUM(AA144+"00:04")</f>
        <v>0.79305555555555496</v>
      </c>
      <c r="AC144" s="162">
        <f t="shared" si="95"/>
        <v>0.79652777777777717</v>
      </c>
      <c r="AD144" s="162">
        <f t="shared" si="96"/>
        <v>0.79791666666666605</v>
      </c>
      <c r="AE144" s="162">
        <f t="shared" si="97"/>
        <v>0.79999999999999938</v>
      </c>
      <c r="AF144" s="162">
        <f t="shared" si="126"/>
        <v>0.80138888888888826</v>
      </c>
      <c r="AG144" s="162">
        <f t="shared" si="126"/>
        <v>0.80277777777777715</v>
      </c>
      <c r="AH144" s="162">
        <f t="shared" si="127"/>
        <v>0.80347222222222159</v>
      </c>
      <c r="AI144" s="163">
        <f t="shared" si="127"/>
        <v>0.80416666666666603</v>
      </c>
      <c r="AJ144" s="162">
        <f t="shared" si="127"/>
        <v>0.80486111111111047</v>
      </c>
      <c r="AK144" s="162">
        <f t="shared" si="127"/>
        <v>0.80555555555555491</v>
      </c>
      <c r="AL144" s="162">
        <f t="shared" si="98"/>
        <v>0.80763888888888824</v>
      </c>
      <c r="AM144" s="162">
        <f t="shared" si="99"/>
        <v>0.80902777777777712</v>
      </c>
      <c r="AN144" s="129">
        <f t="shared" si="100"/>
        <v>0.80972222222222157</v>
      </c>
      <c r="AO144" s="109"/>
      <c r="AP144" s="257"/>
      <c r="AR144" s="276"/>
      <c r="AS144" s="269"/>
      <c r="AT144" s="36"/>
      <c r="AU144" s="39"/>
      <c r="AV144" s="40"/>
      <c r="AW144" s="41"/>
      <c r="AX144" s="42"/>
      <c r="AY144" s="38"/>
    </row>
    <row r="145" spans="1:51" s="8" customFormat="1" ht="24" customHeight="1" x14ac:dyDescent="0.45">
      <c r="A145" s="11"/>
      <c r="B145" s="31"/>
      <c r="C145" s="31"/>
      <c r="D145" s="31"/>
      <c r="E145" s="29"/>
      <c r="F145" s="31"/>
      <c r="G145" s="31"/>
      <c r="H145" s="31"/>
      <c r="I145" s="31"/>
      <c r="J145" s="31"/>
      <c r="K145" s="31"/>
      <c r="L145" s="56"/>
      <c r="M145" s="144">
        <v>11</v>
      </c>
      <c r="N145" s="194" t="str">
        <f t="shared" ca="1" si="74"/>
        <v>Yolanda Diaz</v>
      </c>
      <c r="O145" s="228">
        <f>+O143+2</f>
        <v>4936</v>
      </c>
      <c r="P145" s="200">
        <f>P143+"00:34"</f>
        <v>0.77083333333333348</v>
      </c>
      <c r="Q145" s="130">
        <f>+P145+"00:10"</f>
        <v>0.7777777777777779</v>
      </c>
      <c r="R145" s="166">
        <f>+Q145+"00:05"</f>
        <v>0.78125000000000011</v>
      </c>
      <c r="S145" s="166">
        <f>+R145+"00:04"</f>
        <v>0.78402777777777788</v>
      </c>
      <c r="T145" s="166">
        <f>+S145+"00:8"</f>
        <v>0.78958333333333341</v>
      </c>
      <c r="U145" s="166">
        <f>+T145+"00:00"</f>
        <v>0.78958333333333341</v>
      </c>
      <c r="V145" s="166">
        <f>+U145+"00:04"</f>
        <v>0.79236111111111118</v>
      </c>
      <c r="W145" s="166">
        <f>+V145+"00:01"</f>
        <v>0.79305555555555562</v>
      </c>
      <c r="X145" s="279">
        <f>+W145+"00:02"</f>
        <v>0.79444444444444451</v>
      </c>
      <c r="Y145" s="160">
        <f t="shared" si="93"/>
        <v>0.79722222222222228</v>
      </c>
      <c r="Z145" s="160">
        <f t="shared" si="124"/>
        <v>0.7993055555555556</v>
      </c>
      <c r="AA145" s="160">
        <f t="shared" si="124"/>
        <v>0.80138888888888893</v>
      </c>
      <c r="AB145" s="160">
        <f t="shared" si="128"/>
        <v>0.8041666666666667</v>
      </c>
      <c r="AC145" s="160">
        <f t="shared" si="95"/>
        <v>0.80763888888888891</v>
      </c>
      <c r="AD145" s="160">
        <f t="shared" si="96"/>
        <v>0.80902777777777779</v>
      </c>
      <c r="AE145" s="160">
        <f t="shared" si="97"/>
        <v>0.81111111111111112</v>
      </c>
      <c r="AF145" s="160">
        <f t="shared" si="126"/>
        <v>0.8125</v>
      </c>
      <c r="AG145" s="160">
        <f t="shared" si="126"/>
        <v>0.81388888888888888</v>
      </c>
      <c r="AH145" s="160">
        <f t="shared" si="127"/>
        <v>0.81458333333333333</v>
      </c>
      <c r="AI145" s="161">
        <f t="shared" si="127"/>
        <v>0.81527777777777777</v>
      </c>
      <c r="AJ145" s="160">
        <f t="shared" si="127"/>
        <v>0.81597222222222221</v>
      </c>
      <c r="AK145" s="160">
        <f t="shared" si="127"/>
        <v>0.81666666666666665</v>
      </c>
      <c r="AL145" s="160">
        <f t="shared" si="98"/>
        <v>0.81874999999999998</v>
      </c>
      <c r="AM145" s="160">
        <f t="shared" si="99"/>
        <v>0.82013888888888886</v>
      </c>
      <c r="AN145" s="131">
        <f t="shared" si="100"/>
        <v>0.8208333333333333</v>
      </c>
      <c r="AO145" s="109"/>
      <c r="AP145" s="257"/>
      <c r="AR145" s="276"/>
      <c r="AS145" s="268"/>
      <c r="AT145" s="28"/>
      <c r="AU145" s="39"/>
      <c r="AV145" s="40"/>
      <c r="AW145" s="41"/>
      <c r="AX145" s="42"/>
      <c r="AY145" s="38"/>
    </row>
    <row r="146" spans="1:51" s="8" customFormat="1" ht="24" customHeight="1" x14ac:dyDescent="0.45">
      <c r="A146" s="11"/>
      <c r="B146" s="31"/>
      <c r="C146" s="31"/>
      <c r="D146" s="31"/>
      <c r="E146" s="29"/>
      <c r="F146" s="31"/>
      <c r="G146" s="31"/>
      <c r="H146" s="31"/>
      <c r="I146" s="31"/>
      <c r="J146" s="31"/>
      <c r="K146" s="32"/>
      <c r="L146" s="56"/>
      <c r="M146" s="144">
        <v>16</v>
      </c>
      <c r="N146" s="194" t="str">
        <f t="shared" ca="1" si="74"/>
        <v>Koala</v>
      </c>
      <c r="O146" s="227">
        <f>+O141+2</f>
        <v>4736</v>
      </c>
      <c r="P146" s="208"/>
      <c r="Q146" s="138">
        <v>0.79305555555555551</v>
      </c>
      <c r="R146" s="166">
        <f>Q146+"00:04"</f>
        <v>0.79583333333333328</v>
      </c>
      <c r="S146" s="166">
        <f>R146+"00:04"</f>
        <v>0.79861111111111105</v>
      </c>
      <c r="T146" s="166">
        <f t="shared" ref="T146:V146" si="129">S146+"00:04"</f>
        <v>0.80138888888888882</v>
      </c>
      <c r="U146" s="166">
        <f>T146+"00:01"</f>
        <v>0.80208333333333326</v>
      </c>
      <c r="V146" s="166">
        <f t="shared" si="129"/>
        <v>0.80486111111111103</v>
      </c>
      <c r="W146" s="166">
        <f>V146+"00:01"</f>
        <v>0.80555555555555547</v>
      </c>
      <c r="X146" s="279">
        <f>W146+"00:02"</f>
        <v>0.80694444444444435</v>
      </c>
      <c r="Y146" s="160">
        <f t="shared" ref="Y146:Y155" si="130">SUM(X146+"00:04")</f>
        <v>0.80972222222222212</v>
      </c>
      <c r="Z146" s="160">
        <f t="shared" si="124"/>
        <v>0.81180555555555545</v>
      </c>
      <c r="AA146" s="160">
        <f t="shared" si="124"/>
        <v>0.81388888888888877</v>
      </c>
      <c r="AB146" s="160">
        <f t="shared" si="128"/>
        <v>0.81666666666666654</v>
      </c>
      <c r="AC146" s="160">
        <f t="shared" ref="AC146:AC155" si="131">SUM(AB146+"00:05")</f>
        <v>0.82013888888888875</v>
      </c>
      <c r="AD146" s="160">
        <f t="shared" ref="AD146:AD155" si="132">SUM(AC146+"00:02")</f>
        <v>0.82152777777777763</v>
      </c>
      <c r="AE146" s="160">
        <f t="shared" ref="AE146:AE155" si="133">SUM(AD146+"00:03")</f>
        <v>0.82361111111111096</v>
      </c>
      <c r="AF146" s="160">
        <f t="shared" si="126"/>
        <v>0.82499999999999984</v>
      </c>
      <c r="AG146" s="160">
        <f t="shared" si="126"/>
        <v>0.82638888888888873</v>
      </c>
      <c r="AH146" s="160">
        <f t="shared" si="127"/>
        <v>0.82708333333333317</v>
      </c>
      <c r="AI146" s="161">
        <f t="shared" si="127"/>
        <v>0.82777777777777761</v>
      </c>
      <c r="AJ146" s="160">
        <f t="shared" si="127"/>
        <v>0.82847222222222205</v>
      </c>
      <c r="AK146" s="160">
        <f t="shared" si="127"/>
        <v>0.8291666666666665</v>
      </c>
      <c r="AL146" s="160">
        <f t="shared" ref="AL146:AL155" si="134">SUM(AK146+"00:03")</f>
        <v>0.83124999999999982</v>
      </c>
      <c r="AM146" s="160">
        <f t="shared" ref="AM146:AM155" si="135">SUM(AL146+"00:02")</f>
        <v>0.83263888888888871</v>
      </c>
      <c r="AN146" s="126">
        <f t="shared" ref="AN146:AN155" si="136">SUM(AM146+"00:01")</f>
        <v>0.83333333333333315</v>
      </c>
      <c r="AO146" s="109"/>
      <c r="AP146" s="257"/>
      <c r="AR146" s="276"/>
      <c r="AS146" s="268"/>
      <c r="AT146" s="28"/>
      <c r="AU146" s="39"/>
      <c r="AV146" s="40"/>
      <c r="AW146" s="41"/>
      <c r="AX146" s="42"/>
      <c r="AY146" s="38"/>
    </row>
    <row r="147" spans="1:51" s="8" customFormat="1" ht="24" customHeight="1" x14ac:dyDescent="0.45">
      <c r="A147" s="11"/>
      <c r="B147" s="33"/>
      <c r="C147" s="33"/>
      <c r="D147" s="33"/>
      <c r="E147" s="34"/>
      <c r="F147" s="33"/>
      <c r="G147" s="33"/>
      <c r="H147" s="33"/>
      <c r="I147" s="33"/>
      <c r="J147" s="33"/>
      <c r="K147" s="35"/>
      <c r="L147" s="56"/>
      <c r="M147" s="144">
        <v>12</v>
      </c>
      <c r="N147" s="194" t="str">
        <f t="shared" ref="N147:N158" ca="1" si="137">VLOOKUP(M147,$AR$2:$AS$80,2,FALSE)</f>
        <v>Iniesta</v>
      </c>
      <c r="O147" s="226">
        <f t="shared" ref="O147:O155" si="138">+O144+2</f>
        <v>4560</v>
      </c>
      <c r="P147" s="199"/>
      <c r="Q147" s="136"/>
      <c r="R147" s="128"/>
      <c r="S147" s="128"/>
      <c r="T147" s="128"/>
      <c r="U147" s="128"/>
      <c r="V147" s="128"/>
      <c r="W147" s="166"/>
      <c r="X147" s="280">
        <f>+X144+"00:54"</f>
        <v>0.82083333333333275</v>
      </c>
      <c r="Y147" s="162">
        <f t="shared" si="130"/>
        <v>0.82361111111111052</v>
      </c>
      <c r="Z147" s="162">
        <f t="shared" si="124"/>
        <v>0.82569444444444384</v>
      </c>
      <c r="AA147" s="162">
        <f t="shared" si="124"/>
        <v>0.82777777777777717</v>
      </c>
      <c r="AB147" s="162">
        <f t="shared" ref="AB147:AB149" si="139">SUM(AA147+"00:04")</f>
        <v>0.83055555555555494</v>
      </c>
      <c r="AC147" s="162">
        <f t="shared" si="131"/>
        <v>0.83402777777777715</v>
      </c>
      <c r="AD147" s="162">
        <f t="shared" si="132"/>
        <v>0.83541666666666603</v>
      </c>
      <c r="AE147" s="162">
        <f t="shared" si="133"/>
        <v>0.83749999999999936</v>
      </c>
      <c r="AF147" s="162">
        <f t="shared" si="126"/>
        <v>0.83888888888888824</v>
      </c>
      <c r="AG147" s="162">
        <f t="shared" si="126"/>
        <v>0.84027777777777712</v>
      </c>
      <c r="AH147" s="162">
        <f t="shared" si="127"/>
        <v>0.84097222222222157</v>
      </c>
      <c r="AI147" s="163">
        <f t="shared" si="127"/>
        <v>0.84166666666666601</v>
      </c>
      <c r="AJ147" s="162">
        <f t="shared" si="127"/>
        <v>0.84236111111111045</v>
      </c>
      <c r="AK147" s="162">
        <f t="shared" si="127"/>
        <v>0.84305555555555489</v>
      </c>
      <c r="AL147" s="162">
        <f t="shared" si="134"/>
        <v>0.84513888888888822</v>
      </c>
      <c r="AM147" s="162">
        <f t="shared" si="135"/>
        <v>0.8465277777777771</v>
      </c>
      <c r="AN147" s="129">
        <f t="shared" si="136"/>
        <v>0.84722222222222154</v>
      </c>
      <c r="AO147" s="109"/>
      <c r="AP147" s="257"/>
      <c r="AR147" s="276"/>
      <c r="AS147" s="268"/>
      <c r="AT147" s="28"/>
      <c r="AU147" s="39"/>
      <c r="AV147" s="40"/>
      <c r="AW147" s="41"/>
      <c r="AX147" s="42"/>
      <c r="AY147" s="38"/>
    </row>
    <row r="148" spans="1:51" s="8" customFormat="1" ht="24" customHeight="1" x14ac:dyDescent="0.45">
      <c r="A148" s="1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56"/>
      <c r="M148" s="144">
        <v>155</v>
      </c>
      <c r="N148" s="194" t="str">
        <f t="shared" ca="1" si="137"/>
        <v>Jaime Sastre</v>
      </c>
      <c r="O148" s="228">
        <f t="shared" si="138"/>
        <v>4938</v>
      </c>
      <c r="P148" s="200">
        <f>P145+"01:00"</f>
        <v>0.81250000000000011</v>
      </c>
      <c r="Q148" s="130">
        <f>+P148+"00:10"</f>
        <v>0.81944444444444453</v>
      </c>
      <c r="R148" s="166">
        <f>+Q148+"00:05"</f>
        <v>0.82291666666666674</v>
      </c>
      <c r="S148" s="166">
        <f>+R148+"00:04"</f>
        <v>0.82569444444444451</v>
      </c>
      <c r="T148" s="166">
        <f>+S148+"00:8"</f>
        <v>0.83125000000000004</v>
      </c>
      <c r="U148" s="166">
        <f>+T148+"00:00"</f>
        <v>0.83125000000000004</v>
      </c>
      <c r="V148" s="166">
        <f>+U148+"00:04"</f>
        <v>0.83402777777777781</v>
      </c>
      <c r="W148" s="166">
        <f>+V148+"00:01"</f>
        <v>0.83472222222222225</v>
      </c>
      <c r="X148" s="279">
        <f>+W148+"00:02"</f>
        <v>0.83611111111111114</v>
      </c>
      <c r="Y148" s="160">
        <f t="shared" si="130"/>
        <v>0.83888888888888891</v>
      </c>
      <c r="Z148" s="160">
        <f t="shared" si="124"/>
        <v>0.84097222222222223</v>
      </c>
      <c r="AA148" s="160">
        <f t="shared" si="124"/>
        <v>0.84305555555555556</v>
      </c>
      <c r="AB148" s="160">
        <f t="shared" si="139"/>
        <v>0.84583333333333333</v>
      </c>
      <c r="AC148" s="160">
        <f t="shared" si="131"/>
        <v>0.84930555555555554</v>
      </c>
      <c r="AD148" s="160">
        <f t="shared" si="132"/>
        <v>0.85069444444444442</v>
      </c>
      <c r="AE148" s="160">
        <f t="shared" si="133"/>
        <v>0.85277777777777775</v>
      </c>
      <c r="AF148" s="160">
        <f t="shared" si="126"/>
        <v>0.85416666666666663</v>
      </c>
      <c r="AG148" s="160">
        <f t="shared" si="126"/>
        <v>0.85555555555555551</v>
      </c>
      <c r="AH148" s="160">
        <f t="shared" si="127"/>
        <v>0.85624999999999996</v>
      </c>
      <c r="AI148" s="161">
        <f t="shared" si="127"/>
        <v>0.8569444444444444</v>
      </c>
      <c r="AJ148" s="160">
        <f t="shared" si="127"/>
        <v>0.85763888888888884</v>
      </c>
      <c r="AK148" s="160">
        <f t="shared" si="127"/>
        <v>0.85833333333333328</v>
      </c>
      <c r="AL148" s="160">
        <f t="shared" si="134"/>
        <v>0.86041666666666661</v>
      </c>
      <c r="AM148" s="160">
        <f t="shared" si="135"/>
        <v>0.86180555555555549</v>
      </c>
      <c r="AN148" s="131">
        <f t="shared" si="136"/>
        <v>0.86249999999999993</v>
      </c>
      <c r="AO148" s="109"/>
      <c r="AP148" s="257"/>
      <c r="AR148" s="276"/>
      <c r="AS148" s="268"/>
      <c r="AT148" s="28"/>
      <c r="AU148" s="39"/>
      <c r="AV148" s="45"/>
      <c r="AW148" s="45"/>
      <c r="AX148" s="46"/>
      <c r="AY148" s="38"/>
    </row>
    <row r="149" spans="1:51" s="8" customFormat="1" ht="24" customHeight="1" x14ac:dyDescent="0.45">
      <c r="A149" s="1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56"/>
      <c r="M149" s="144">
        <v>18</v>
      </c>
      <c r="N149" s="194" t="str">
        <f t="shared" ca="1" si="137"/>
        <v>Rigo</v>
      </c>
      <c r="O149" s="227">
        <f t="shared" si="138"/>
        <v>4738</v>
      </c>
      <c r="P149" s="208"/>
      <c r="Q149" s="138">
        <v>0.83472222222222225</v>
      </c>
      <c r="R149" s="166">
        <f>Q149+"00:04"</f>
        <v>0.83750000000000002</v>
      </c>
      <c r="S149" s="166">
        <f>R149+"00:04"</f>
        <v>0.84027777777777779</v>
      </c>
      <c r="T149" s="166">
        <f t="shared" ref="T149:V149" si="140">S149+"00:04"</f>
        <v>0.84305555555555556</v>
      </c>
      <c r="U149" s="166">
        <f>T149+"00:01"</f>
        <v>0.84375</v>
      </c>
      <c r="V149" s="166">
        <f t="shared" si="140"/>
        <v>0.84652777777777777</v>
      </c>
      <c r="W149" s="166">
        <f>V149+"00:01"</f>
        <v>0.84722222222222221</v>
      </c>
      <c r="X149" s="279">
        <f>W149+"00:02"</f>
        <v>0.84861111111111109</v>
      </c>
      <c r="Y149" s="160">
        <f t="shared" si="130"/>
        <v>0.85138888888888886</v>
      </c>
      <c r="Z149" s="160">
        <f t="shared" si="124"/>
        <v>0.85347222222222219</v>
      </c>
      <c r="AA149" s="160">
        <f t="shared" si="124"/>
        <v>0.85555555555555551</v>
      </c>
      <c r="AB149" s="160">
        <f t="shared" si="139"/>
        <v>0.85833333333333328</v>
      </c>
      <c r="AC149" s="160">
        <f t="shared" si="131"/>
        <v>0.86180555555555549</v>
      </c>
      <c r="AD149" s="160">
        <f t="shared" si="132"/>
        <v>0.86319444444444438</v>
      </c>
      <c r="AE149" s="160">
        <f t="shared" si="133"/>
        <v>0.8652777777777777</v>
      </c>
      <c r="AF149" s="160">
        <f t="shared" si="126"/>
        <v>0.86666666666666659</v>
      </c>
      <c r="AG149" s="160">
        <f t="shared" si="126"/>
        <v>0.86805555555555547</v>
      </c>
      <c r="AH149" s="160">
        <f t="shared" si="127"/>
        <v>0.86874999999999991</v>
      </c>
      <c r="AI149" s="161">
        <f t="shared" si="127"/>
        <v>0.86944444444444435</v>
      </c>
      <c r="AJ149" s="160">
        <f t="shared" si="127"/>
        <v>0.8701388888888888</v>
      </c>
      <c r="AK149" s="160">
        <f t="shared" si="127"/>
        <v>0.87083333333333324</v>
      </c>
      <c r="AL149" s="160">
        <f t="shared" si="134"/>
        <v>0.87291666666666656</v>
      </c>
      <c r="AM149" s="160">
        <f t="shared" si="135"/>
        <v>0.87430555555555545</v>
      </c>
      <c r="AN149" s="126">
        <f t="shared" si="136"/>
        <v>0.87499999999999989</v>
      </c>
      <c r="AO149" s="109"/>
      <c r="AP149" s="257"/>
      <c r="AR149" s="276"/>
      <c r="AS149" s="268"/>
      <c r="AT149" s="38"/>
      <c r="AU149" s="39"/>
      <c r="AV149" s="45"/>
      <c r="AW149" s="45"/>
      <c r="AX149" s="46"/>
      <c r="AY149" s="38"/>
    </row>
    <row r="150" spans="1:51" s="8" customFormat="1" ht="24" customHeight="1" x14ac:dyDescent="0.45">
      <c r="A150" s="11"/>
      <c r="B150" s="33"/>
      <c r="C150" s="182"/>
      <c r="D150" s="182"/>
      <c r="E150" s="182"/>
      <c r="F150" s="182"/>
      <c r="G150" s="182"/>
      <c r="H150" s="182"/>
      <c r="I150" s="182"/>
      <c r="J150" s="31"/>
      <c r="K150" s="31"/>
      <c r="L150" s="27"/>
      <c r="M150" s="144">
        <v>34</v>
      </c>
      <c r="N150" s="194" t="str">
        <f t="shared" ca="1" si="137"/>
        <v>Miki</v>
      </c>
      <c r="O150" s="226">
        <f t="shared" si="138"/>
        <v>4562</v>
      </c>
      <c r="P150" s="199"/>
      <c r="Q150" s="136"/>
      <c r="R150" s="128"/>
      <c r="S150" s="128"/>
      <c r="T150" s="128"/>
      <c r="U150" s="128"/>
      <c r="V150" s="128"/>
      <c r="W150" s="166"/>
      <c r="X150" s="280">
        <f>+X147+"01:00"</f>
        <v>0.86249999999999938</v>
      </c>
      <c r="Y150" s="162">
        <f t="shared" si="130"/>
        <v>0.86527777777777715</v>
      </c>
      <c r="Z150" s="162">
        <f t="shared" si="124"/>
        <v>0.86736111111111047</v>
      </c>
      <c r="AA150" s="162">
        <f t="shared" si="124"/>
        <v>0.8694444444444438</v>
      </c>
      <c r="AB150" s="162">
        <f t="shared" ref="AB150:AB152" si="141">SUM(AA150+"00:04")</f>
        <v>0.87222222222222157</v>
      </c>
      <c r="AC150" s="162">
        <f t="shared" si="131"/>
        <v>0.87569444444444378</v>
      </c>
      <c r="AD150" s="162">
        <f t="shared" si="132"/>
        <v>0.87708333333333266</v>
      </c>
      <c r="AE150" s="162">
        <f t="shared" si="133"/>
        <v>0.87916666666666599</v>
      </c>
      <c r="AF150" s="162">
        <f t="shared" si="126"/>
        <v>0.88055555555555487</v>
      </c>
      <c r="AG150" s="162">
        <f t="shared" si="126"/>
        <v>0.88194444444444375</v>
      </c>
      <c r="AH150" s="162">
        <f t="shared" si="127"/>
        <v>0.8826388888888882</v>
      </c>
      <c r="AI150" s="163">
        <f t="shared" si="127"/>
        <v>0.88333333333333264</v>
      </c>
      <c r="AJ150" s="162">
        <f t="shared" si="127"/>
        <v>0.88402777777777708</v>
      </c>
      <c r="AK150" s="162">
        <f t="shared" si="127"/>
        <v>0.88472222222222152</v>
      </c>
      <c r="AL150" s="162">
        <f t="shared" si="134"/>
        <v>0.88680555555555485</v>
      </c>
      <c r="AM150" s="162">
        <f t="shared" si="135"/>
        <v>0.88819444444444373</v>
      </c>
      <c r="AN150" s="129">
        <f t="shared" si="136"/>
        <v>0.88888888888888817</v>
      </c>
      <c r="AO150" s="109"/>
      <c r="AP150" s="257"/>
      <c r="AR150" s="276"/>
      <c r="AS150" s="268"/>
      <c r="AT150" s="38"/>
      <c r="AU150" s="39"/>
      <c r="AV150" s="45"/>
      <c r="AW150" s="45"/>
      <c r="AX150" s="46"/>
      <c r="AY150" s="38"/>
    </row>
    <row r="151" spans="1:51" s="8" customFormat="1" ht="24" customHeight="1" x14ac:dyDescent="0.45">
      <c r="A151" s="11"/>
      <c r="B151" s="180"/>
      <c r="C151" s="233">
        <v>151</v>
      </c>
      <c r="D151" s="364" t="s">
        <v>178</v>
      </c>
      <c r="E151" s="364"/>
      <c r="F151" s="364"/>
      <c r="G151" s="364"/>
      <c r="H151" s="364"/>
      <c r="I151" s="365"/>
      <c r="J151" s="181"/>
      <c r="K151" s="31"/>
      <c r="L151" s="27"/>
      <c r="M151" s="144">
        <v>13</v>
      </c>
      <c r="N151" s="194" t="str">
        <f t="shared" ca="1" si="137"/>
        <v>Florit</v>
      </c>
      <c r="O151" s="228">
        <f t="shared" si="138"/>
        <v>4940</v>
      </c>
      <c r="P151" s="200">
        <f>P148+"01:00"</f>
        <v>0.85416666666666674</v>
      </c>
      <c r="Q151" s="130">
        <f>+P151+"00:10"</f>
        <v>0.86111111111111116</v>
      </c>
      <c r="R151" s="166">
        <f>+Q151+"00:05"</f>
        <v>0.86458333333333337</v>
      </c>
      <c r="S151" s="166">
        <f>+R151+"00:04"</f>
        <v>0.86736111111111114</v>
      </c>
      <c r="T151" s="166">
        <f>+S151+"00:8"</f>
        <v>0.87291666666666667</v>
      </c>
      <c r="U151" s="166">
        <f>+T151+"00:00"</f>
        <v>0.87291666666666667</v>
      </c>
      <c r="V151" s="166">
        <f>+U151+"00:04"</f>
        <v>0.87569444444444444</v>
      </c>
      <c r="W151" s="166">
        <f>+V151+"00:01"</f>
        <v>0.87638888888888888</v>
      </c>
      <c r="X151" s="279">
        <f>+W151+"00:02"</f>
        <v>0.87777777777777777</v>
      </c>
      <c r="Y151" s="160">
        <f t="shared" si="130"/>
        <v>0.88055555555555554</v>
      </c>
      <c r="Z151" s="160">
        <f t="shared" si="124"/>
        <v>0.88263888888888886</v>
      </c>
      <c r="AA151" s="160">
        <f t="shared" si="124"/>
        <v>0.88472222222222219</v>
      </c>
      <c r="AB151" s="160">
        <f t="shared" si="141"/>
        <v>0.88749999999999996</v>
      </c>
      <c r="AC151" s="160">
        <f t="shared" si="131"/>
        <v>0.89097222222222217</v>
      </c>
      <c r="AD151" s="160">
        <f t="shared" si="132"/>
        <v>0.89236111111111105</v>
      </c>
      <c r="AE151" s="160">
        <f t="shared" si="133"/>
        <v>0.89444444444444438</v>
      </c>
      <c r="AF151" s="160">
        <f t="shared" si="126"/>
        <v>0.89583333333333326</v>
      </c>
      <c r="AG151" s="160">
        <f t="shared" si="126"/>
        <v>0.89722222222222214</v>
      </c>
      <c r="AH151" s="160">
        <f t="shared" si="127"/>
        <v>0.89791666666666659</v>
      </c>
      <c r="AI151" s="161">
        <f t="shared" si="127"/>
        <v>0.89861111111111103</v>
      </c>
      <c r="AJ151" s="160">
        <f t="shared" si="127"/>
        <v>0.89930555555555547</v>
      </c>
      <c r="AK151" s="160">
        <f t="shared" si="127"/>
        <v>0.89999999999999991</v>
      </c>
      <c r="AL151" s="160">
        <f t="shared" si="134"/>
        <v>0.90208333333333324</v>
      </c>
      <c r="AM151" s="160">
        <f t="shared" si="135"/>
        <v>0.90347222222222212</v>
      </c>
      <c r="AN151" s="131">
        <f t="shared" si="136"/>
        <v>0.90416666666666656</v>
      </c>
      <c r="AO151" s="109"/>
      <c r="AP151" s="257"/>
      <c r="AR151" s="276"/>
      <c r="AS151" s="268"/>
      <c r="AT151" s="38"/>
      <c r="AU151" s="39"/>
      <c r="AV151" s="45"/>
      <c r="AW151" s="45"/>
      <c r="AX151" s="46"/>
      <c r="AY151" s="38"/>
    </row>
    <row r="152" spans="1:51" s="8" customFormat="1" ht="24" customHeight="1" x14ac:dyDescent="0.45">
      <c r="A152" s="11"/>
      <c r="B152" s="180"/>
      <c r="C152" s="234"/>
      <c r="D152" s="235">
        <v>1</v>
      </c>
      <c r="E152" s="235">
        <v>6.35</v>
      </c>
      <c r="F152" s="22"/>
      <c r="G152" s="22"/>
      <c r="H152" s="22"/>
      <c r="I152" s="236"/>
      <c r="J152" s="181"/>
      <c r="K152" s="31"/>
      <c r="L152" s="27"/>
      <c r="M152" s="144">
        <v>15</v>
      </c>
      <c r="N152" s="194" t="str">
        <f t="shared" ca="1" si="137"/>
        <v>Tomeu Moya</v>
      </c>
      <c r="O152" s="227">
        <f t="shared" si="138"/>
        <v>4740</v>
      </c>
      <c r="P152" s="208"/>
      <c r="Q152" s="138">
        <v>0.87638888888888888</v>
      </c>
      <c r="R152" s="166">
        <f>Q152+"00:04"</f>
        <v>0.87916666666666665</v>
      </c>
      <c r="S152" s="166">
        <f>R152+"00:04"</f>
        <v>0.88194444444444442</v>
      </c>
      <c r="T152" s="166">
        <f t="shared" ref="T152:V152" si="142">S152+"00:04"</f>
        <v>0.88472222222222219</v>
      </c>
      <c r="U152" s="166">
        <f>T152+"00:01"</f>
        <v>0.88541666666666663</v>
      </c>
      <c r="V152" s="166">
        <f t="shared" si="142"/>
        <v>0.8881944444444444</v>
      </c>
      <c r="W152" s="166">
        <f>V152+"00:01"</f>
        <v>0.88888888888888884</v>
      </c>
      <c r="X152" s="279">
        <f>W152+"00:02"</f>
        <v>0.89027777777777772</v>
      </c>
      <c r="Y152" s="160">
        <f t="shared" si="130"/>
        <v>0.89305555555555549</v>
      </c>
      <c r="Z152" s="160">
        <f t="shared" si="124"/>
        <v>0.89513888888888882</v>
      </c>
      <c r="AA152" s="160">
        <f t="shared" si="124"/>
        <v>0.89722222222222214</v>
      </c>
      <c r="AB152" s="160">
        <f t="shared" si="141"/>
        <v>0.89999999999999991</v>
      </c>
      <c r="AC152" s="160">
        <f t="shared" si="131"/>
        <v>0.90347222222222212</v>
      </c>
      <c r="AD152" s="160">
        <f t="shared" si="132"/>
        <v>0.90486111111111101</v>
      </c>
      <c r="AE152" s="160">
        <f t="shared" si="133"/>
        <v>0.90694444444444433</v>
      </c>
      <c r="AF152" s="160">
        <f t="shared" si="126"/>
        <v>0.90833333333333321</v>
      </c>
      <c r="AG152" s="160">
        <f t="shared" si="126"/>
        <v>0.9097222222222221</v>
      </c>
      <c r="AH152" s="160">
        <f t="shared" si="127"/>
        <v>0.91041666666666654</v>
      </c>
      <c r="AI152" s="161">
        <f t="shared" si="127"/>
        <v>0.91111111111111098</v>
      </c>
      <c r="AJ152" s="160">
        <f t="shared" si="127"/>
        <v>0.91180555555555542</v>
      </c>
      <c r="AK152" s="160">
        <f t="shared" si="127"/>
        <v>0.91249999999999987</v>
      </c>
      <c r="AL152" s="160">
        <f t="shared" si="134"/>
        <v>0.91458333333333319</v>
      </c>
      <c r="AM152" s="160">
        <f t="shared" si="135"/>
        <v>0.91597222222222208</v>
      </c>
      <c r="AN152" s="126">
        <f t="shared" si="136"/>
        <v>0.91666666666666652</v>
      </c>
      <c r="AO152" s="109"/>
      <c r="AP152" s="257"/>
      <c r="AR152" s="276"/>
      <c r="AS152" s="268"/>
      <c r="AT152" s="38"/>
      <c r="AU152" s="39"/>
      <c r="AV152" s="45"/>
      <c r="AW152" s="45"/>
      <c r="AX152" s="46"/>
      <c r="AY152" s="38"/>
    </row>
    <row r="153" spans="1:51" s="8" customFormat="1" ht="24" customHeight="1" x14ac:dyDescent="0.45">
      <c r="A153" s="11"/>
      <c r="B153" s="24"/>
      <c r="C153" s="234"/>
      <c r="D153" s="235">
        <v>1</v>
      </c>
      <c r="E153" s="235">
        <v>7.15</v>
      </c>
      <c r="F153" s="22"/>
      <c r="G153" s="22"/>
      <c r="H153" s="22"/>
      <c r="I153" s="236"/>
      <c r="J153" s="20"/>
      <c r="K153" s="20"/>
      <c r="L153" s="27"/>
      <c r="M153" s="144">
        <v>16</v>
      </c>
      <c r="N153" s="194" t="str">
        <f t="shared" ca="1" si="137"/>
        <v>Koala</v>
      </c>
      <c r="O153" s="226">
        <f t="shared" si="138"/>
        <v>4564</v>
      </c>
      <c r="P153" s="199"/>
      <c r="Q153" s="136"/>
      <c r="R153" s="128"/>
      <c r="S153" s="128"/>
      <c r="T153" s="128"/>
      <c r="U153" s="128"/>
      <c r="V153" s="128"/>
      <c r="W153" s="166"/>
      <c r="X153" s="280">
        <f>+X150+"01:00"</f>
        <v>0.90416666666666601</v>
      </c>
      <c r="Y153" s="162">
        <f t="shared" si="130"/>
        <v>0.90694444444444378</v>
      </c>
      <c r="Z153" s="162">
        <f t="shared" si="124"/>
        <v>0.9090277777777771</v>
      </c>
      <c r="AA153" s="162">
        <f t="shared" si="124"/>
        <v>0.91111111111111043</v>
      </c>
      <c r="AB153" s="162">
        <f t="shared" ref="AB153:AB155" si="143">SUM(AA153+"00:04")</f>
        <v>0.9138888888888882</v>
      </c>
      <c r="AC153" s="162">
        <f t="shared" si="131"/>
        <v>0.91736111111111041</v>
      </c>
      <c r="AD153" s="162">
        <f t="shared" si="132"/>
        <v>0.91874999999999929</v>
      </c>
      <c r="AE153" s="162">
        <f t="shared" si="133"/>
        <v>0.92083333333333262</v>
      </c>
      <c r="AF153" s="162">
        <f t="shared" si="126"/>
        <v>0.9222222222222215</v>
      </c>
      <c r="AG153" s="162">
        <f t="shared" si="126"/>
        <v>0.92361111111111038</v>
      </c>
      <c r="AH153" s="162">
        <f t="shared" si="127"/>
        <v>0.92430555555555483</v>
      </c>
      <c r="AI153" s="163">
        <f t="shared" si="127"/>
        <v>0.92499999999999927</v>
      </c>
      <c r="AJ153" s="162">
        <f t="shared" si="127"/>
        <v>0.92569444444444371</v>
      </c>
      <c r="AK153" s="162">
        <f t="shared" si="127"/>
        <v>0.92638888888888815</v>
      </c>
      <c r="AL153" s="162">
        <f t="shared" si="134"/>
        <v>0.92847222222222148</v>
      </c>
      <c r="AM153" s="162">
        <f t="shared" si="135"/>
        <v>0.92986111111111036</v>
      </c>
      <c r="AN153" s="129">
        <f t="shared" si="136"/>
        <v>0.9305555555555548</v>
      </c>
      <c r="AO153" s="109"/>
      <c r="AP153" s="257"/>
      <c r="AR153" s="276"/>
      <c r="AS153" s="268"/>
      <c r="AT153" s="47"/>
      <c r="AU153" s="39"/>
      <c r="AV153" s="45"/>
      <c r="AW153" s="45"/>
      <c r="AX153" s="46"/>
      <c r="AY153" s="38"/>
    </row>
    <row r="154" spans="1:51" s="8" customFormat="1" ht="24" customHeight="1" x14ac:dyDescent="0.45">
      <c r="A154" s="19"/>
      <c r="B154" s="24"/>
      <c r="C154" s="234"/>
      <c r="D154" s="237"/>
      <c r="E154" s="237">
        <v>7.55</v>
      </c>
      <c r="F154" s="22"/>
      <c r="G154" s="22"/>
      <c r="H154" s="22"/>
      <c r="I154" s="236"/>
      <c r="J154" s="20"/>
      <c r="K154" s="20"/>
      <c r="L154" s="27"/>
      <c r="M154" s="144">
        <v>17</v>
      </c>
      <c r="N154" s="194" t="str">
        <f t="shared" ca="1" si="137"/>
        <v xml:space="preserve">Lucio </v>
      </c>
      <c r="O154" s="228">
        <f t="shared" si="138"/>
        <v>4942</v>
      </c>
      <c r="P154" s="200">
        <f>P151+"01:00"</f>
        <v>0.89583333333333337</v>
      </c>
      <c r="Q154" s="130">
        <f>+P154+"00:10"</f>
        <v>0.90277777777777779</v>
      </c>
      <c r="R154" s="166">
        <f>+Q154+"00:05"</f>
        <v>0.90625</v>
      </c>
      <c r="S154" s="166">
        <f>+R154+"00:04"</f>
        <v>0.90902777777777777</v>
      </c>
      <c r="T154" s="166">
        <f>+S154+"00:8"</f>
        <v>0.9145833333333333</v>
      </c>
      <c r="U154" s="166">
        <f>+T154+"00:00"</f>
        <v>0.9145833333333333</v>
      </c>
      <c r="V154" s="166">
        <f>+U154+"00:04"</f>
        <v>0.91736111111111107</v>
      </c>
      <c r="W154" s="166">
        <f>+V154+"00:01"</f>
        <v>0.91805555555555551</v>
      </c>
      <c r="X154" s="279">
        <f>+W154+"00:02"</f>
        <v>0.9194444444444444</v>
      </c>
      <c r="Y154" s="160">
        <f t="shared" si="130"/>
        <v>0.92222222222222217</v>
      </c>
      <c r="Z154" s="160">
        <f t="shared" si="124"/>
        <v>0.92430555555555549</v>
      </c>
      <c r="AA154" s="160">
        <f t="shared" si="124"/>
        <v>0.92638888888888882</v>
      </c>
      <c r="AB154" s="160">
        <f t="shared" si="143"/>
        <v>0.92916666666666659</v>
      </c>
      <c r="AC154" s="160">
        <f t="shared" si="131"/>
        <v>0.9326388888888888</v>
      </c>
      <c r="AD154" s="160">
        <f t="shared" si="132"/>
        <v>0.93402777777777768</v>
      </c>
      <c r="AE154" s="160">
        <f t="shared" si="133"/>
        <v>0.93611111111111101</v>
      </c>
      <c r="AF154" s="160">
        <f t="shared" si="126"/>
        <v>0.93749999999999989</v>
      </c>
      <c r="AG154" s="160">
        <f t="shared" si="126"/>
        <v>0.93888888888888877</v>
      </c>
      <c r="AH154" s="160">
        <f t="shared" si="127"/>
        <v>0.93958333333333321</v>
      </c>
      <c r="AI154" s="161">
        <f t="shared" si="127"/>
        <v>0.94027777777777766</v>
      </c>
      <c r="AJ154" s="160">
        <f t="shared" si="127"/>
        <v>0.9409722222222221</v>
      </c>
      <c r="AK154" s="160">
        <f t="shared" si="127"/>
        <v>0.94166666666666654</v>
      </c>
      <c r="AL154" s="160">
        <f t="shared" si="134"/>
        <v>0.94374999999999987</v>
      </c>
      <c r="AM154" s="160">
        <f t="shared" si="135"/>
        <v>0.94513888888888875</v>
      </c>
      <c r="AN154" s="131">
        <f t="shared" si="136"/>
        <v>0.94583333333333319</v>
      </c>
      <c r="AO154" s="109"/>
      <c r="AP154" s="257"/>
      <c r="AR154" s="276"/>
      <c r="AS154" s="258"/>
      <c r="AT154" s="47"/>
      <c r="AU154" s="39"/>
      <c r="AV154" s="45"/>
      <c r="AW154" s="45"/>
      <c r="AX154" s="46"/>
      <c r="AY154" s="38"/>
    </row>
    <row r="155" spans="1:51" customFormat="1" ht="24" customHeight="1" x14ac:dyDescent="0.45">
      <c r="B155" s="24"/>
      <c r="C155" s="234"/>
      <c r="D155" s="235">
        <v>7</v>
      </c>
      <c r="E155" s="235">
        <v>8.5500000000000007</v>
      </c>
      <c r="F155" s="22"/>
      <c r="G155" s="358" t="s">
        <v>142</v>
      </c>
      <c r="H155" s="359"/>
      <c r="I155" s="236"/>
      <c r="J155" s="20"/>
      <c r="K155" s="20"/>
      <c r="L155" s="27"/>
      <c r="M155" s="144">
        <v>35</v>
      </c>
      <c r="N155" s="194" t="str">
        <f t="shared" ca="1" si="137"/>
        <v>Juanjo</v>
      </c>
      <c r="O155" s="229">
        <f t="shared" si="138"/>
        <v>4742</v>
      </c>
      <c r="P155" s="202"/>
      <c r="Q155" s="139">
        <v>0.91805555555555551</v>
      </c>
      <c r="R155" s="166">
        <f>Q155+"00:04"</f>
        <v>0.92083333333333328</v>
      </c>
      <c r="S155" s="166">
        <f>R155+"00:04"</f>
        <v>0.92361111111111105</v>
      </c>
      <c r="T155" s="166">
        <f t="shared" ref="T155:V155" si="144">S155+"00:04"</f>
        <v>0.92638888888888882</v>
      </c>
      <c r="U155" s="166">
        <f>T155+"00:01"</f>
        <v>0.92708333333333326</v>
      </c>
      <c r="V155" s="166">
        <f t="shared" si="144"/>
        <v>0.92986111111111103</v>
      </c>
      <c r="W155" s="166">
        <f>V155+"00:01"</f>
        <v>0.93055555555555547</v>
      </c>
      <c r="X155" s="279">
        <f>W155+"00:02"</f>
        <v>0.93194444444444435</v>
      </c>
      <c r="Y155" s="162">
        <f t="shared" si="130"/>
        <v>0.93472222222222212</v>
      </c>
      <c r="Z155" s="162">
        <f t="shared" si="124"/>
        <v>0.93680555555555545</v>
      </c>
      <c r="AA155" s="162">
        <f t="shared" si="124"/>
        <v>0.93888888888888877</v>
      </c>
      <c r="AB155" s="162">
        <f t="shared" si="143"/>
        <v>0.94166666666666654</v>
      </c>
      <c r="AC155" s="162">
        <f t="shared" si="131"/>
        <v>0.94513888888888875</v>
      </c>
      <c r="AD155" s="162">
        <f t="shared" si="132"/>
        <v>0.94652777777777763</v>
      </c>
      <c r="AE155" s="162">
        <f t="shared" si="133"/>
        <v>0.94861111111111096</v>
      </c>
      <c r="AF155" s="162">
        <f t="shared" si="126"/>
        <v>0.94999999999999984</v>
      </c>
      <c r="AG155" s="162">
        <f t="shared" si="126"/>
        <v>0.95138888888888873</v>
      </c>
      <c r="AH155" s="162">
        <f t="shared" si="127"/>
        <v>0.95208333333333317</v>
      </c>
      <c r="AI155" s="163">
        <f t="shared" si="127"/>
        <v>0.95277777777777761</v>
      </c>
      <c r="AJ155" s="162">
        <f t="shared" si="127"/>
        <v>0.95347222222222205</v>
      </c>
      <c r="AK155" s="162">
        <f t="shared" si="127"/>
        <v>0.9541666666666665</v>
      </c>
      <c r="AL155" s="162">
        <f t="shared" si="134"/>
        <v>0.95624999999999982</v>
      </c>
      <c r="AM155" s="162">
        <f t="shared" si="135"/>
        <v>0.95763888888888871</v>
      </c>
      <c r="AN155" s="183">
        <f t="shared" si="136"/>
        <v>0.95833333333333315</v>
      </c>
      <c r="AO155" s="109"/>
      <c r="AP155" s="337"/>
      <c r="AQ155" s="8"/>
      <c r="AR155" s="276"/>
      <c r="AS155" s="258"/>
      <c r="AT155" s="47"/>
      <c r="AU155" s="39"/>
      <c r="AV155" s="45"/>
      <c r="AW155" s="45"/>
      <c r="AX155" s="46"/>
      <c r="AY155" s="47"/>
    </row>
    <row r="156" spans="1:51" customFormat="1" ht="24" customHeight="1" x14ac:dyDescent="0.45">
      <c r="B156" s="24"/>
      <c r="C156" s="234"/>
      <c r="D156" s="235">
        <v>6</v>
      </c>
      <c r="E156" s="238">
        <v>0.43402777777777779</v>
      </c>
      <c r="F156" s="239" t="s">
        <v>177</v>
      </c>
      <c r="G156" s="360"/>
      <c r="H156" s="361"/>
      <c r="I156" s="236"/>
      <c r="J156" s="20"/>
      <c r="K156" s="20"/>
      <c r="L156" s="27"/>
      <c r="M156" s="144">
        <v>202</v>
      </c>
      <c r="N156" s="194" t="str">
        <f t="shared" ca="1" si="137"/>
        <v>Gomila</v>
      </c>
      <c r="O156" s="231">
        <v>7002</v>
      </c>
      <c r="P156" s="198"/>
      <c r="Q156" s="140">
        <v>0.94097222222222221</v>
      </c>
      <c r="R156" s="170">
        <f>Q156+"0:04"</f>
        <v>0.94374999999999998</v>
      </c>
      <c r="S156" s="171">
        <f>R156+"0:04"</f>
        <v>0.94652777777777775</v>
      </c>
      <c r="T156" s="177">
        <f>S156+"0:04"</f>
        <v>0.94930555555555551</v>
      </c>
      <c r="U156" s="177">
        <f>T156+"0:00"</f>
        <v>0.94930555555555551</v>
      </c>
      <c r="V156" s="177">
        <f>+U156+"00:03"</f>
        <v>0.95138888888888884</v>
      </c>
      <c r="W156" s="177">
        <f>SUM(U156+"0:04")</f>
        <v>0.95208333333333328</v>
      </c>
      <c r="X156" s="283"/>
      <c r="Y156" s="141"/>
      <c r="Z156" s="141"/>
      <c r="AA156" s="141"/>
      <c r="AB156" s="141"/>
      <c r="AC156" s="141"/>
      <c r="AD156" s="141"/>
      <c r="AE156" s="141"/>
      <c r="AF156" s="141"/>
      <c r="AG156" s="141"/>
      <c r="AH156" s="141"/>
      <c r="AI156" s="164"/>
      <c r="AJ156" s="141"/>
      <c r="AK156" s="141"/>
      <c r="AL156" s="141"/>
      <c r="AM156" s="141"/>
      <c r="AN156" s="135"/>
      <c r="AO156" s="109"/>
      <c r="AP156" s="337"/>
      <c r="AQ156" s="8"/>
      <c r="AR156" s="276"/>
      <c r="AS156" s="258"/>
      <c r="AT156" s="47"/>
      <c r="AU156" s="39"/>
      <c r="AV156" s="45"/>
      <c r="AW156" s="45"/>
      <c r="AX156" s="46"/>
      <c r="AY156" s="47"/>
    </row>
    <row r="157" spans="1:51" customFormat="1" x14ac:dyDescent="0.45">
      <c r="B157" s="20"/>
      <c r="C157" s="234"/>
      <c r="D157" s="235"/>
      <c r="E157" s="235"/>
      <c r="F157" s="22"/>
      <c r="G157" s="360"/>
      <c r="H157" s="361"/>
      <c r="I157" s="236"/>
      <c r="J157" s="20"/>
      <c r="K157" s="20"/>
      <c r="L157" s="27"/>
      <c r="M157" s="144">
        <v>19</v>
      </c>
      <c r="N157" s="194" t="str">
        <f t="shared" ca="1" si="137"/>
        <v xml:space="preserve">Campos </v>
      </c>
      <c r="O157" s="232">
        <v>34566</v>
      </c>
      <c r="P157" s="207"/>
      <c r="Q157" s="127"/>
      <c r="R157" s="172" t="s">
        <v>88</v>
      </c>
      <c r="S157" s="128"/>
      <c r="T157" s="172"/>
      <c r="U157" s="128"/>
      <c r="V157" s="128"/>
      <c r="W157" s="166"/>
      <c r="X157" s="284">
        <v>0.94097222222222221</v>
      </c>
      <c r="Y157" s="163">
        <f>SUM(X157+"00:02")</f>
        <v>0.94236111111111109</v>
      </c>
      <c r="Z157" s="163">
        <f>SUM(Y157+"00:03")</f>
        <v>0.94444444444444442</v>
      </c>
      <c r="AA157" s="163">
        <f>SUM(Z157+"00:02")</f>
        <v>0.9458333333333333</v>
      </c>
      <c r="AB157" s="163">
        <f>SUM(AA157+"00:03")</f>
        <v>0.94791666666666663</v>
      </c>
      <c r="AC157" s="163">
        <f>SUM(AB157+"00:05")</f>
        <v>0.95138888888888884</v>
      </c>
      <c r="AD157" s="163">
        <f>SUM(AC157+"00:02")</f>
        <v>0.95277777777777772</v>
      </c>
      <c r="AE157" s="163">
        <f>SUM(AD157+"00:03")</f>
        <v>0.95486111111111105</v>
      </c>
      <c r="AF157" s="163">
        <f>SUM(AE157+"00:02")</f>
        <v>0.95624999999999993</v>
      </c>
      <c r="AG157" s="163">
        <f>SUM(AF157+"00:02")</f>
        <v>0.95763888888888882</v>
      </c>
      <c r="AH157" s="163">
        <f>SUM(AG157+"00:01")</f>
        <v>0.95833333333333326</v>
      </c>
      <c r="AI157" s="163">
        <f>SUM(AH157+"00:00")</f>
        <v>0.95833333333333326</v>
      </c>
      <c r="AJ157" s="163">
        <f>SUM(AI157+"00:01")</f>
        <v>0.9590277777777777</v>
      </c>
      <c r="AK157" s="163">
        <f>SUM(AJ157+"00:01")</f>
        <v>0.95972222222222214</v>
      </c>
      <c r="AL157" s="163">
        <f>SUM(AK157+"00:1")</f>
        <v>0.96041666666666659</v>
      </c>
      <c r="AM157" s="163">
        <f>SUM(AL157+"00:01")</f>
        <v>0.96111111111111103</v>
      </c>
      <c r="AN157" s="142">
        <f>SUM(AM157+"00:01")</f>
        <v>0.96180555555555547</v>
      </c>
      <c r="AO157" s="110"/>
      <c r="AP157" s="337"/>
      <c r="AQ157" s="8"/>
      <c r="AR157" s="276"/>
      <c r="AS157" s="258"/>
      <c r="AT157" s="47"/>
      <c r="AU157" s="39"/>
      <c r="AV157" s="45"/>
      <c r="AW157" s="45"/>
      <c r="AX157" s="46"/>
      <c r="AY157" s="47"/>
    </row>
    <row r="158" spans="1:51" customFormat="1" ht="33.75" x14ac:dyDescent="0.5">
      <c r="C158" s="240"/>
      <c r="D158" s="241"/>
      <c r="E158" s="241"/>
      <c r="F158" s="242"/>
      <c r="G158" s="362"/>
      <c r="H158" s="363"/>
      <c r="I158" s="243"/>
      <c r="L158" s="27"/>
      <c r="M158" s="144">
        <v>36</v>
      </c>
      <c r="N158" s="194" t="str">
        <f t="shared" ca="1" si="137"/>
        <v>C, Jaume</v>
      </c>
      <c r="O158" s="228">
        <f>+O154+2</f>
        <v>4944</v>
      </c>
      <c r="P158" s="200">
        <f>P154+"01:00"</f>
        <v>0.9375</v>
      </c>
      <c r="Q158" s="130">
        <f>+P158+"00:10"</f>
        <v>0.94444444444444442</v>
      </c>
      <c r="R158" s="166">
        <f>+Q158+"00:05"</f>
        <v>0.94791666666666663</v>
      </c>
      <c r="S158" s="166">
        <f>+R158+"00:04"</f>
        <v>0.9506944444444444</v>
      </c>
      <c r="T158" s="166">
        <f>+S158+"00:8"</f>
        <v>0.95624999999999993</v>
      </c>
      <c r="U158" s="166">
        <f>+T158+"00:00"</f>
        <v>0.95624999999999993</v>
      </c>
      <c r="V158" s="166">
        <f>+U158+"00:04"</f>
        <v>0.9590277777777777</v>
      </c>
      <c r="W158" s="166">
        <f>+V158+"00:01"</f>
        <v>0.95972222222222214</v>
      </c>
      <c r="X158" s="280">
        <f>+W158+"00:02"</f>
        <v>0.96111111111111103</v>
      </c>
      <c r="Y158" s="162">
        <f>SUM(X158+"00:04")</f>
        <v>0.9638888888888888</v>
      </c>
      <c r="Z158" s="162">
        <f>SUM(Y158+"00:03")</f>
        <v>0.96597222222222212</v>
      </c>
      <c r="AA158" s="162">
        <f>SUM(Z158+"00:03")</f>
        <v>0.96805555555555545</v>
      </c>
      <c r="AB158" s="162">
        <f t="shared" ref="AB158" si="145">SUM(AA158+"00:04")</f>
        <v>0.97083333333333321</v>
      </c>
      <c r="AC158" s="162">
        <f>SUM(AB158+"00:05")</f>
        <v>0.97430555555555542</v>
      </c>
      <c r="AD158" s="162">
        <f>SUM(AC158+"00:02")</f>
        <v>0.97569444444444431</v>
      </c>
      <c r="AE158" s="162">
        <f>SUM(AD158+"00:03")</f>
        <v>0.97777777777777763</v>
      </c>
      <c r="AF158" s="162">
        <f>SUM(AE158+"00:02")</f>
        <v>0.97916666666666652</v>
      </c>
      <c r="AG158" s="162">
        <f>SUM(AF158+"00:02")</f>
        <v>0.9805555555555554</v>
      </c>
      <c r="AH158" s="162">
        <f>SUM(AG158+"00:01")</f>
        <v>0.98124999999999984</v>
      </c>
      <c r="AI158" s="163">
        <f>SUM(AH158+"00:01")</f>
        <v>0.98194444444444429</v>
      </c>
      <c r="AJ158" s="162">
        <f>SUM(AI158+"00:01")</f>
        <v>0.98263888888888873</v>
      </c>
      <c r="AK158" s="162">
        <f>SUM(AJ158+"00:01")</f>
        <v>0.98333333333333317</v>
      </c>
      <c r="AL158" s="162">
        <f>SUM(AK158+"00:03")</f>
        <v>0.9854166666666665</v>
      </c>
      <c r="AM158" s="162">
        <f>SUM(AL158+"00:02")</f>
        <v>0.98680555555555538</v>
      </c>
      <c r="AN158" s="143">
        <f>SUM(AM158+"00:01")</f>
        <v>0.98749999999999982</v>
      </c>
      <c r="AO158" s="109"/>
      <c r="AP158" s="337"/>
      <c r="AQ158" s="8"/>
      <c r="AR158" s="277"/>
      <c r="AS158" s="268"/>
      <c r="AU158" s="1"/>
      <c r="AV158" s="1"/>
      <c r="AW158" s="1"/>
      <c r="AX158" s="23"/>
    </row>
    <row r="159" spans="1:51" customFormat="1" ht="33.75" x14ac:dyDescent="0.5">
      <c r="E159" s="12"/>
      <c r="F159" s="18"/>
      <c r="G159" s="18"/>
      <c r="H159" s="18"/>
      <c r="I159" s="18"/>
      <c r="J159" s="18"/>
      <c r="K159" s="12"/>
      <c r="M159" s="23"/>
      <c r="N159" s="196"/>
      <c r="O159" s="5"/>
      <c r="P159" s="192"/>
      <c r="Q159" s="3"/>
      <c r="R159" s="3"/>
      <c r="S159" s="3"/>
      <c r="T159" s="3"/>
      <c r="U159" s="13"/>
      <c r="V159" s="3"/>
      <c r="W159" s="3"/>
      <c r="X159" s="3"/>
      <c r="Y159" s="3"/>
      <c r="Z159" s="3"/>
      <c r="AA159" s="3"/>
      <c r="AB159" s="3"/>
      <c r="AC159" s="14"/>
      <c r="AD159" s="3"/>
      <c r="AE159" s="3"/>
      <c r="AG159" s="3"/>
      <c r="AH159" s="3"/>
      <c r="AI159" s="3"/>
      <c r="AJ159" s="3"/>
      <c r="AK159" s="3"/>
      <c r="AL159" s="21"/>
      <c r="AM159" s="3"/>
      <c r="AN159" s="3"/>
      <c r="AO159" s="3"/>
      <c r="AP159" s="337"/>
      <c r="AQ159" s="8"/>
      <c r="AR159" s="277"/>
      <c r="AS159" s="268"/>
    </row>
    <row r="160" spans="1:51" customFormat="1" ht="18" customHeight="1" x14ac:dyDescent="0.5">
      <c r="E160" s="12"/>
      <c r="F160" s="18"/>
      <c r="G160" s="18"/>
      <c r="H160" s="18"/>
      <c r="I160" s="18"/>
      <c r="J160" s="18"/>
      <c r="K160" s="12"/>
      <c r="M160" s="5"/>
      <c r="N160" s="196"/>
      <c r="O160" s="5"/>
      <c r="P160" s="192"/>
      <c r="Q160" s="3"/>
      <c r="R160" s="3"/>
      <c r="S160" s="3"/>
      <c r="T160" s="3"/>
      <c r="U160" s="13"/>
      <c r="V160" s="3"/>
      <c r="W160" s="3"/>
      <c r="X160" s="3"/>
      <c r="Y160" s="3"/>
      <c r="Z160" s="3"/>
      <c r="AA160" s="3"/>
      <c r="AB160" s="3"/>
      <c r="AC160" s="14"/>
      <c r="AD160" s="3"/>
      <c r="AE160" s="3"/>
      <c r="AG160" s="3"/>
      <c r="AH160" s="3"/>
      <c r="AI160" s="3"/>
      <c r="AJ160" s="3"/>
      <c r="AK160" s="3"/>
      <c r="AL160" s="21"/>
      <c r="AM160" s="3"/>
      <c r="AN160" s="3"/>
      <c r="AO160" s="3"/>
      <c r="AP160" s="337"/>
      <c r="AQ160" s="8"/>
      <c r="AR160" s="277"/>
      <c r="AS160" s="268"/>
    </row>
    <row r="161" spans="2:50" customFormat="1" ht="18" customHeight="1" x14ac:dyDescent="0.5">
      <c r="E161" s="12"/>
      <c r="F161" s="18"/>
      <c r="G161" s="18"/>
      <c r="H161" s="18"/>
      <c r="I161" s="18"/>
      <c r="J161" s="18"/>
      <c r="K161" s="12"/>
      <c r="M161" s="5"/>
      <c r="N161" s="196"/>
      <c r="O161" s="5"/>
      <c r="P161" s="192"/>
      <c r="Q161" s="3"/>
      <c r="R161" s="3"/>
      <c r="S161" s="3"/>
      <c r="T161" s="3"/>
      <c r="U161" s="13"/>
      <c r="V161" s="3"/>
      <c r="W161" s="3"/>
      <c r="X161" s="3"/>
      <c r="Y161" s="3"/>
      <c r="Z161" s="3"/>
      <c r="AA161" s="3"/>
      <c r="AB161" s="3"/>
      <c r="AC161" s="14"/>
      <c r="AD161" s="3"/>
      <c r="AE161" s="3"/>
      <c r="AG161" s="3"/>
      <c r="AH161" s="3"/>
      <c r="AI161" s="3"/>
      <c r="AJ161" s="3"/>
      <c r="AK161" s="3"/>
      <c r="AL161" s="21"/>
      <c r="AM161" s="3"/>
      <c r="AN161" s="3"/>
      <c r="AO161" s="3"/>
      <c r="AP161" s="337"/>
      <c r="AQ161" s="8"/>
      <c r="AR161" s="277"/>
      <c r="AS161" s="270"/>
    </row>
    <row r="162" spans="2:50" customFormat="1" ht="18" customHeight="1" x14ac:dyDescent="0.5">
      <c r="E162" s="12"/>
      <c r="F162" s="12"/>
      <c r="G162" s="12"/>
      <c r="H162" s="12"/>
      <c r="I162" s="12"/>
      <c r="J162" s="12"/>
      <c r="K162" s="12"/>
      <c r="M162" s="5"/>
      <c r="N162" s="196"/>
      <c r="O162" s="5"/>
      <c r="P162" s="192"/>
      <c r="Q162" s="3"/>
      <c r="R162" s="3"/>
      <c r="S162" s="3"/>
      <c r="T162" s="3"/>
      <c r="U162" s="13"/>
      <c r="V162" s="3"/>
      <c r="W162" s="3"/>
      <c r="X162" s="3"/>
      <c r="Y162" s="3"/>
      <c r="Z162" s="3"/>
      <c r="AA162" s="3"/>
      <c r="AB162" s="3"/>
      <c r="AC162" s="14"/>
      <c r="AD162" s="3"/>
      <c r="AE162" s="3"/>
      <c r="AG162" s="3"/>
      <c r="AH162" s="3"/>
      <c r="AI162" s="3"/>
      <c r="AJ162" s="3"/>
      <c r="AK162" s="3"/>
      <c r="AL162" s="21"/>
      <c r="AM162" s="3"/>
      <c r="AN162" s="3"/>
      <c r="AO162" s="3"/>
      <c r="AP162" s="337"/>
      <c r="AQ162" s="8"/>
      <c r="AR162" s="277"/>
      <c r="AS162" s="270"/>
    </row>
    <row r="163" spans="2:50" customFormat="1" ht="18" customHeight="1" x14ac:dyDescent="0.5">
      <c r="E163" s="12"/>
      <c r="F163" s="12"/>
      <c r="G163" s="12"/>
      <c r="H163" s="12"/>
      <c r="I163" s="12"/>
      <c r="J163" s="12"/>
      <c r="K163" s="12"/>
      <c r="M163" s="5"/>
      <c r="N163" s="196"/>
      <c r="O163" s="5"/>
      <c r="P163" s="192"/>
      <c r="Q163" s="3"/>
      <c r="R163" s="3"/>
      <c r="S163" s="3"/>
      <c r="T163" s="3"/>
      <c r="U163" s="13"/>
      <c r="V163" s="3"/>
      <c r="W163" s="3"/>
      <c r="X163" s="3"/>
      <c r="Y163" s="3"/>
      <c r="Z163" s="3"/>
      <c r="AA163" s="3"/>
      <c r="AB163" s="3"/>
      <c r="AC163" s="14"/>
      <c r="AD163" s="3"/>
      <c r="AE163" s="3"/>
      <c r="AG163" s="3"/>
      <c r="AH163" s="3"/>
      <c r="AI163" s="3"/>
      <c r="AJ163" s="3"/>
      <c r="AK163" s="3"/>
      <c r="AL163" s="21"/>
      <c r="AM163" s="3"/>
      <c r="AN163" s="3"/>
      <c r="AO163" s="3"/>
      <c r="AP163" s="337"/>
      <c r="AQ163" s="8"/>
      <c r="AR163" s="277"/>
      <c r="AS163" s="270"/>
    </row>
    <row r="164" spans="2:50" customFormat="1" ht="18" customHeight="1" x14ac:dyDescent="0.5">
      <c r="E164" s="12"/>
      <c r="F164" s="12"/>
      <c r="G164" s="12"/>
      <c r="H164" s="12"/>
      <c r="I164" s="12"/>
      <c r="J164" s="12"/>
      <c r="K164" s="12"/>
      <c r="M164" s="5"/>
      <c r="N164" s="196"/>
      <c r="O164" s="5"/>
      <c r="P164" s="192"/>
      <c r="Q164" s="3"/>
      <c r="R164" s="3"/>
      <c r="S164" s="3"/>
      <c r="T164" s="3"/>
      <c r="U164" s="13"/>
      <c r="V164" s="3"/>
      <c r="W164" s="3"/>
      <c r="X164" s="3"/>
      <c r="Y164" s="3"/>
      <c r="Z164" s="3"/>
      <c r="AA164" s="3"/>
      <c r="AB164" s="3"/>
      <c r="AC164" s="14"/>
      <c r="AD164" s="3"/>
      <c r="AE164" s="3"/>
      <c r="AG164" s="3"/>
      <c r="AH164" s="3"/>
      <c r="AI164" s="3"/>
      <c r="AJ164" s="3"/>
      <c r="AK164" s="3"/>
      <c r="AL164" s="21"/>
      <c r="AM164" s="3"/>
      <c r="AN164" s="3"/>
      <c r="AO164" s="3"/>
      <c r="AP164" s="337"/>
      <c r="AQ164" s="8"/>
      <c r="AR164" s="277"/>
      <c r="AS164" s="270"/>
      <c r="AT164" s="10"/>
      <c r="AU164" s="10"/>
      <c r="AV164" s="10"/>
      <c r="AW164" s="10"/>
    </row>
    <row r="165" spans="2:50" customFormat="1" ht="18" customHeight="1" x14ac:dyDescent="0.5">
      <c r="E165" s="12"/>
      <c r="F165" s="12"/>
      <c r="G165" s="12"/>
      <c r="H165" s="12"/>
      <c r="I165" s="12"/>
      <c r="J165" s="12"/>
      <c r="K165" s="12"/>
      <c r="M165" s="5"/>
      <c r="N165" s="196"/>
      <c r="O165" s="5"/>
      <c r="P165" s="192"/>
      <c r="Q165" s="3"/>
      <c r="R165" s="3"/>
      <c r="S165" s="3"/>
      <c r="T165" s="3"/>
      <c r="U165" s="13"/>
      <c r="V165" s="3"/>
      <c r="W165" s="3"/>
      <c r="X165" s="3"/>
      <c r="Y165" s="3"/>
      <c r="Z165" s="3"/>
      <c r="AA165" s="3"/>
      <c r="AB165" s="3"/>
      <c r="AC165" s="14"/>
      <c r="AD165" s="3"/>
      <c r="AE165" s="3"/>
      <c r="AG165" s="3"/>
      <c r="AH165" s="3"/>
      <c r="AI165" s="3"/>
      <c r="AJ165" s="3"/>
      <c r="AK165" s="3"/>
      <c r="AL165" s="21"/>
      <c r="AM165" s="3"/>
      <c r="AN165" s="3"/>
      <c r="AO165" s="3"/>
      <c r="AP165" s="337"/>
      <c r="AQ165" s="8"/>
      <c r="AR165" s="277"/>
      <c r="AS165" s="270"/>
      <c r="AT165" s="10"/>
      <c r="AU165" s="10"/>
      <c r="AV165" s="10"/>
      <c r="AW165" s="10"/>
      <c r="AX165" s="10"/>
    </row>
    <row r="166" spans="2:50" ht="18" customHeight="1" x14ac:dyDescent="0.5">
      <c r="B166"/>
      <c r="C166"/>
      <c r="D166"/>
      <c r="E166" s="12"/>
      <c r="F166" s="12"/>
      <c r="G166" s="12"/>
      <c r="H166" s="12"/>
      <c r="I166" s="12"/>
      <c r="J166" s="12"/>
      <c r="K166" s="12"/>
      <c r="L166"/>
      <c r="M166" s="5"/>
      <c r="N166" s="196"/>
      <c r="O166" s="5"/>
      <c r="P166" s="192"/>
      <c r="Q166" s="3"/>
      <c r="R166" s="3"/>
      <c r="S166" s="3"/>
      <c r="T166" s="3"/>
      <c r="U166" s="13"/>
      <c r="V166" s="3"/>
      <c r="W166" s="3"/>
      <c r="X166" s="3"/>
      <c r="Y166" s="3"/>
      <c r="Z166" s="3"/>
      <c r="AA166" s="3"/>
      <c r="AB166" s="3"/>
      <c r="AC166" s="14"/>
      <c r="AD166" s="3"/>
      <c r="AE166" s="3"/>
      <c r="AF166"/>
      <c r="AG166" s="3"/>
      <c r="AH166" s="3"/>
      <c r="AI166" s="3"/>
      <c r="AJ166" s="3"/>
      <c r="AK166" s="3"/>
      <c r="AL166" s="21"/>
      <c r="AM166" s="3"/>
      <c r="AN166" s="3"/>
      <c r="AO166" s="3"/>
      <c r="AR166" s="277"/>
      <c r="AS166" s="270"/>
    </row>
    <row r="167" spans="2:50" ht="18" customHeight="1" x14ac:dyDescent="0.5">
      <c r="B167"/>
      <c r="C167"/>
      <c r="D167"/>
      <c r="E167" s="12"/>
      <c r="F167" s="12"/>
      <c r="G167" s="12"/>
      <c r="H167" s="12"/>
      <c r="I167" s="12"/>
      <c r="J167" s="12"/>
      <c r="K167" s="12"/>
      <c r="L167"/>
      <c r="M167" s="5"/>
      <c r="N167" s="196"/>
      <c r="O167" s="5"/>
      <c r="P167" s="192"/>
      <c r="Q167" s="3"/>
      <c r="R167" s="3"/>
      <c r="S167" s="3"/>
      <c r="T167" s="3"/>
      <c r="U167" s="13"/>
      <c r="V167" s="3"/>
      <c r="W167" s="3"/>
      <c r="X167" s="3"/>
      <c r="Y167" s="3"/>
      <c r="Z167" s="3"/>
      <c r="AA167" s="3"/>
      <c r="AB167" s="3"/>
      <c r="AC167" s="14"/>
      <c r="AD167" s="3"/>
      <c r="AE167" s="3"/>
      <c r="AF167"/>
      <c r="AG167" s="3"/>
      <c r="AH167" s="3"/>
      <c r="AI167" s="3"/>
      <c r="AJ167" s="3"/>
      <c r="AK167" s="3"/>
      <c r="AL167" s="21"/>
      <c r="AM167" s="3"/>
      <c r="AN167" s="3"/>
      <c r="AO167" s="3"/>
      <c r="AR167" s="277"/>
      <c r="AS167" s="270"/>
    </row>
    <row r="168" spans="2:50" ht="18" customHeight="1" x14ac:dyDescent="0.5">
      <c r="B168"/>
      <c r="C168"/>
      <c r="D168"/>
      <c r="E168" s="12"/>
      <c r="F168" s="12"/>
      <c r="G168" s="12"/>
      <c r="H168" s="12"/>
      <c r="I168" s="12"/>
      <c r="J168" s="12"/>
      <c r="K168" s="12"/>
      <c r="L168"/>
      <c r="M168" s="5"/>
      <c r="N168" s="196"/>
      <c r="O168" s="5"/>
      <c r="P168" s="192"/>
      <c r="Q168" s="3"/>
      <c r="R168" s="3"/>
      <c r="S168" s="3"/>
      <c r="T168" s="3"/>
      <c r="U168" s="13"/>
      <c r="V168" s="3"/>
      <c r="W168" s="3"/>
      <c r="X168" s="3"/>
      <c r="Y168" s="3"/>
      <c r="Z168" s="3"/>
      <c r="AA168" s="3"/>
      <c r="AB168" s="3"/>
      <c r="AC168" s="14"/>
      <c r="AD168" s="3"/>
      <c r="AE168" s="3"/>
      <c r="AF168"/>
      <c r="AG168" s="3"/>
      <c r="AH168" s="3"/>
      <c r="AI168" s="3"/>
      <c r="AJ168" s="3"/>
      <c r="AK168" s="3"/>
      <c r="AL168" s="21"/>
      <c r="AM168" s="3"/>
      <c r="AN168" s="3"/>
      <c r="AO168" s="3"/>
      <c r="AR168" s="277"/>
      <c r="AS168" s="270"/>
    </row>
    <row r="169" spans="2:50" ht="18" customHeight="1" x14ac:dyDescent="0.45">
      <c r="G169" s="12"/>
      <c r="M169" s="5"/>
      <c r="N169" s="196"/>
      <c r="O169" s="5"/>
      <c r="P169" s="192"/>
      <c r="Q169" s="3"/>
      <c r="R169" s="3"/>
      <c r="S169" s="3"/>
      <c r="T169" s="3"/>
      <c r="U169" s="13"/>
      <c r="V169" s="3"/>
      <c r="W169" s="3"/>
      <c r="X169" s="3"/>
      <c r="Y169" s="3"/>
      <c r="Z169" s="3"/>
      <c r="AA169" s="3"/>
      <c r="AB169" s="3"/>
      <c r="AC169" s="14"/>
      <c r="AD169" s="3"/>
      <c r="AE169" s="3"/>
      <c r="AF169"/>
      <c r="AG169" s="3"/>
      <c r="AH169" s="3"/>
      <c r="AI169" s="3"/>
      <c r="AJ169" s="3"/>
      <c r="AK169" s="3"/>
      <c r="AL169" s="21"/>
      <c r="AM169" s="3"/>
      <c r="AN169" s="3"/>
      <c r="AO169" s="3"/>
      <c r="AR169" s="276"/>
    </row>
    <row r="170" spans="2:50" ht="18" customHeight="1" x14ac:dyDescent="0.45">
      <c r="M170" s="5"/>
      <c r="N170" s="196"/>
      <c r="O170" s="5"/>
      <c r="P170" s="192"/>
      <c r="Q170" s="3"/>
      <c r="R170" s="3"/>
      <c r="S170" s="3"/>
      <c r="T170" s="3"/>
      <c r="U170" s="13"/>
      <c r="V170" s="3"/>
      <c r="W170" s="3"/>
      <c r="X170" s="3"/>
      <c r="Y170" s="3"/>
      <c r="Z170" s="3"/>
      <c r="AA170" s="3"/>
      <c r="AB170" s="3"/>
      <c r="AC170" s="14"/>
      <c r="AD170" s="3"/>
      <c r="AE170" s="3"/>
      <c r="AF170"/>
      <c r="AG170" s="3"/>
      <c r="AH170" s="3"/>
      <c r="AI170" s="3"/>
      <c r="AJ170" s="3"/>
      <c r="AK170" s="3"/>
      <c r="AL170" s="21"/>
      <c r="AM170" s="3"/>
      <c r="AN170" s="3"/>
      <c r="AO170" s="3"/>
      <c r="AR170" s="276"/>
    </row>
    <row r="171" spans="2:50" ht="18" customHeight="1" x14ac:dyDescent="0.45">
      <c r="M171" s="5"/>
      <c r="N171" s="196"/>
      <c r="O171" s="5"/>
      <c r="P171" s="192"/>
      <c r="Q171" s="3"/>
      <c r="R171" s="3"/>
      <c r="S171" s="3"/>
      <c r="T171" s="3"/>
      <c r="U171" s="13"/>
      <c r="V171" s="3"/>
      <c r="W171" s="3"/>
      <c r="X171" s="3"/>
      <c r="Y171" s="3"/>
      <c r="Z171" s="3"/>
      <c r="AA171" s="3"/>
      <c r="AB171" s="3"/>
      <c r="AC171" s="14"/>
      <c r="AD171" s="3"/>
      <c r="AE171" s="3"/>
      <c r="AF171"/>
      <c r="AG171" s="3"/>
      <c r="AH171" s="3"/>
      <c r="AI171" s="3"/>
      <c r="AJ171" s="3"/>
      <c r="AK171" s="3"/>
      <c r="AL171" s="21"/>
      <c r="AM171" s="3"/>
      <c r="AN171" s="3"/>
      <c r="AO171" s="3"/>
      <c r="AR171" s="276"/>
    </row>
    <row r="172" spans="2:50" ht="18" customHeight="1" x14ac:dyDescent="0.45">
      <c r="M172" s="5"/>
      <c r="N172" s="196"/>
      <c r="O172" s="5"/>
      <c r="P172" s="192"/>
      <c r="Q172" s="3"/>
      <c r="R172" s="3"/>
      <c r="S172" s="3"/>
      <c r="T172" s="3"/>
      <c r="U172" s="13"/>
      <c r="V172" s="3"/>
      <c r="W172" s="3"/>
      <c r="X172" s="3"/>
      <c r="Y172" s="3"/>
      <c r="Z172" s="3"/>
      <c r="AA172" s="3"/>
      <c r="AB172" s="3"/>
      <c r="AC172" s="14"/>
      <c r="AD172" s="3"/>
      <c r="AE172" s="3"/>
      <c r="AF172"/>
      <c r="AG172" s="3"/>
      <c r="AH172" s="3"/>
      <c r="AI172" s="3"/>
      <c r="AJ172" s="3"/>
      <c r="AK172" s="3"/>
      <c r="AL172" s="21"/>
      <c r="AM172" s="3"/>
      <c r="AN172" s="3"/>
      <c r="AO172" s="3"/>
      <c r="AR172" s="276"/>
    </row>
    <row r="173" spans="2:50" ht="18" customHeight="1" x14ac:dyDescent="0.45">
      <c r="M173" s="5"/>
      <c r="N173" s="196"/>
      <c r="O173" s="5"/>
      <c r="P173" s="192"/>
      <c r="Q173" s="3"/>
      <c r="R173" s="3"/>
      <c r="S173" s="3"/>
      <c r="T173" s="3"/>
      <c r="U173" s="13"/>
      <c r="V173" s="3"/>
      <c r="W173" s="3"/>
      <c r="X173" s="3"/>
      <c r="Y173" s="3"/>
      <c r="Z173" s="3"/>
      <c r="AA173" s="3"/>
      <c r="AB173" s="3"/>
      <c r="AC173" s="14"/>
      <c r="AD173" s="3"/>
      <c r="AE173" s="3"/>
      <c r="AF173"/>
      <c r="AG173" s="3"/>
      <c r="AH173" s="3"/>
      <c r="AI173" s="3"/>
      <c r="AJ173" s="3"/>
      <c r="AK173" s="3"/>
      <c r="AL173" s="21"/>
      <c r="AM173" s="3"/>
      <c r="AN173" s="3"/>
      <c r="AO173" s="3"/>
      <c r="AR173" s="276"/>
    </row>
    <row r="174" spans="2:50" ht="18" customHeight="1" x14ac:dyDescent="0.45">
      <c r="M174" s="5"/>
      <c r="N174" s="196"/>
      <c r="O174" s="5"/>
      <c r="P174" s="192"/>
      <c r="Q174" s="3"/>
      <c r="R174" s="3"/>
      <c r="S174" s="3"/>
      <c r="T174" s="3"/>
      <c r="U174" s="13"/>
      <c r="V174" s="3"/>
      <c r="W174" s="3"/>
      <c r="X174" s="3"/>
      <c r="Y174" s="3"/>
      <c r="Z174" s="3"/>
      <c r="AA174" s="3"/>
      <c r="AB174" s="3"/>
      <c r="AC174" s="14"/>
      <c r="AD174" s="3"/>
      <c r="AE174" s="3"/>
      <c r="AF174"/>
      <c r="AG174" s="3"/>
      <c r="AH174" s="3"/>
      <c r="AI174" s="3"/>
      <c r="AJ174" s="3"/>
      <c r="AK174" s="3"/>
      <c r="AL174" s="21"/>
      <c r="AM174" s="3"/>
      <c r="AN174" s="3"/>
      <c r="AO174" s="3"/>
      <c r="AR174" s="276"/>
    </row>
    <row r="175" spans="2:50" ht="18" customHeight="1" x14ac:dyDescent="0.45">
      <c r="M175" s="5"/>
      <c r="N175" s="196"/>
      <c r="O175" s="5"/>
      <c r="P175" s="192"/>
      <c r="Q175" s="3"/>
      <c r="R175" s="3"/>
      <c r="S175" s="3"/>
      <c r="T175" s="3"/>
      <c r="U175" s="13"/>
      <c r="V175" s="3"/>
      <c r="W175" s="3"/>
      <c r="X175" s="3"/>
      <c r="Y175" s="3"/>
      <c r="Z175" s="3"/>
      <c r="AA175" s="3"/>
      <c r="AB175" s="3"/>
      <c r="AC175" s="14"/>
      <c r="AD175" s="3"/>
      <c r="AE175" s="3"/>
      <c r="AF175"/>
      <c r="AG175" s="3"/>
      <c r="AH175" s="3"/>
      <c r="AI175" s="3"/>
      <c r="AJ175" s="3"/>
      <c r="AK175" s="3"/>
      <c r="AL175" s="21"/>
      <c r="AM175" s="3"/>
      <c r="AN175" s="3"/>
      <c r="AO175" s="3"/>
      <c r="AR175" s="276"/>
    </row>
    <row r="176" spans="2:50" ht="18" customHeight="1" x14ac:dyDescent="0.45">
      <c r="M176" s="5"/>
      <c r="N176" s="196"/>
      <c r="O176" s="5"/>
      <c r="P176" s="192"/>
      <c r="Q176" s="3"/>
      <c r="R176" s="3"/>
      <c r="S176" s="3"/>
      <c r="T176" s="3"/>
      <c r="U176" s="1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/>
      <c r="AG176" s="3"/>
      <c r="AH176" s="3"/>
      <c r="AI176" s="3"/>
      <c r="AJ176" s="3"/>
      <c r="AK176" s="3"/>
      <c r="AL176" s="21"/>
      <c r="AM176" s="3"/>
      <c r="AN176" s="3"/>
      <c r="AO176" s="3"/>
      <c r="AR176" s="276"/>
    </row>
    <row r="177" spans="13:44" ht="18" customHeight="1" x14ac:dyDescent="0.45">
      <c r="M177" s="5"/>
      <c r="N177" s="196"/>
      <c r="O177" s="5"/>
      <c r="P177" s="192"/>
      <c r="Q177" s="3"/>
      <c r="R177" s="3"/>
      <c r="S177" s="3"/>
      <c r="T177" s="3"/>
      <c r="U177" s="1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/>
      <c r="AG177" s="3"/>
      <c r="AH177" s="3"/>
      <c r="AI177" s="3"/>
      <c r="AJ177" s="3"/>
      <c r="AK177" s="3"/>
      <c r="AL177" s="21"/>
      <c r="AM177" s="3"/>
      <c r="AN177" s="3"/>
      <c r="AO177" s="3"/>
      <c r="AR177" s="276"/>
    </row>
    <row r="178" spans="13:44" ht="18" customHeight="1" x14ac:dyDescent="0.45">
      <c r="M178" s="5"/>
      <c r="N178" s="196"/>
      <c r="O178" s="5"/>
      <c r="P178" s="192"/>
      <c r="Q178" s="3"/>
      <c r="R178" s="3"/>
      <c r="S178" s="3"/>
      <c r="T178" s="3"/>
      <c r="U178" s="1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/>
      <c r="AG178" s="3"/>
      <c r="AH178" s="3"/>
      <c r="AI178" s="3"/>
      <c r="AJ178" s="3"/>
      <c r="AK178" s="3"/>
      <c r="AL178" s="21"/>
      <c r="AM178" s="3"/>
      <c r="AN178" s="3"/>
      <c r="AO178" s="3"/>
      <c r="AR178" s="276"/>
    </row>
    <row r="179" spans="13:44" ht="18" customHeight="1" x14ac:dyDescent="0.45">
      <c r="M179" s="5"/>
      <c r="N179" s="196"/>
      <c r="O179" s="5"/>
      <c r="P179" s="192"/>
      <c r="Q179" s="3"/>
      <c r="R179" s="3"/>
      <c r="S179" s="3"/>
      <c r="T179" s="3"/>
      <c r="U179" s="1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/>
      <c r="AG179" s="3"/>
      <c r="AH179" s="3"/>
      <c r="AI179" s="3"/>
      <c r="AJ179" s="3"/>
      <c r="AK179" s="3"/>
      <c r="AL179" s="21"/>
      <c r="AM179" s="3"/>
      <c r="AN179" s="3"/>
      <c r="AO179" s="3"/>
      <c r="AR179" s="276"/>
    </row>
    <row r="180" spans="13:44" ht="18" customHeight="1" x14ac:dyDescent="0.45">
      <c r="M180" s="5"/>
      <c r="N180" s="196"/>
      <c r="O180" s="5"/>
      <c r="P180" s="192"/>
      <c r="Q180" s="3"/>
      <c r="R180" s="3"/>
      <c r="S180" s="3"/>
      <c r="T180" s="3"/>
      <c r="U180" s="1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/>
      <c r="AG180" s="3"/>
      <c r="AH180" s="3"/>
      <c r="AI180" s="3"/>
      <c r="AJ180" s="3"/>
      <c r="AK180" s="3"/>
      <c r="AL180" s="21"/>
      <c r="AM180" s="3"/>
      <c r="AN180" s="3"/>
      <c r="AO180" s="3"/>
      <c r="AR180" s="276"/>
    </row>
    <row r="181" spans="13:44" ht="18" customHeight="1" x14ac:dyDescent="0.45">
      <c r="M181" s="5"/>
      <c r="N181" s="196"/>
      <c r="O181" s="5"/>
      <c r="P181" s="192"/>
      <c r="Q181" s="3"/>
      <c r="R181" s="3"/>
      <c r="S181" s="3"/>
      <c r="T181" s="3"/>
      <c r="U181" s="1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/>
      <c r="AG181" s="3"/>
      <c r="AH181" s="3"/>
      <c r="AI181" s="3"/>
      <c r="AJ181" s="3"/>
      <c r="AK181" s="3"/>
      <c r="AL181" s="21"/>
      <c r="AM181" s="3"/>
      <c r="AN181" s="3"/>
      <c r="AO181" s="3"/>
      <c r="AR181" s="276"/>
    </row>
    <row r="182" spans="13:44" ht="18" customHeight="1" x14ac:dyDescent="0.45">
      <c r="M182" s="5"/>
      <c r="N182" s="196"/>
      <c r="O182" s="5"/>
      <c r="P182" s="192"/>
      <c r="Q182" s="3"/>
      <c r="R182" s="3"/>
      <c r="S182" s="3"/>
      <c r="T182" s="3"/>
      <c r="U182" s="1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/>
      <c r="AG182" s="3"/>
      <c r="AH182" s="3"/>
      <c r="AI182" s="3"/>
      <c r="AJ182" s="3"/>
      <c r="AK182" s="3"/>
      <c r="AL182" s="21"/>
      <c r="AM182" s="3"/>
      <c r="AN182" s="3"/>
      <c r="AO182" s="3"/>
      <c r="AP182" s="115"/>
      <c r="AR182" s="276"/>
    </row>
    <row r="183" spans="13:44" ht="18" customHeight="1" x14ac:dyDescent="0.45">
      <c r="M183" s="5"/>
      <c r="N183" s="196"/>
      <c r="O183" s="5"/>
      <c r="P183" s="192"/>
      <c r="Q183" s="3"/>
      <c r="R183" s="3"/>
      <c r="S183" s="3"/>
      <c r="T183" s="3"/>
      <c r="U183" s="1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/>
      <c r="AG183" s="3"/>
      <c r="AH183" s="3"/>
      <c r="AI183" s="3"/>
      <c r="AJ183" s="3"/>
      <c r="AK183" s="3"/>
      <c r="AL183" s="21"/>
      <c r="AM183" s="3"/>
      <c r="AN183" s="3"/>
      <c r="AO183" s="3"/>
      <c r="AP183" s="115"/>
      <c r="AQ183" s="2"/>
      <c r="AR183" s="276"/>
    </row>
    <row r="184" spans="13:44" ht="18" customHeight="1" x14ac:dyDescent="0.45">
      <c r="M184" s="5"/>
      <c r="N184" s="196"/>
      <c r="O184" s="5"/>
      <c r="P184" s="192"/>
      <c r="Q184" s="3"/>
      <c r="R184" s="3"/>
      <c r="S184" s="3"/>
      <c r="T184" s="3"/>
      <c r="U184" s="1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/>
      <c r="AG184" s="3"/>
      <c r="AH184" s="3"/>
      <c r="AI184" s="3"/>
      <c r="AJ184" s="3"/>
      <c r="AK184" s="3"/>
      <c r="AL184" s="21"/>
      <c r="AM184" s="3"/>
      <c r="AN184" s="3"/>
      <c r="AO184" s="3"/>
      <c r="AP184" s="115"/>
      <c r="AQ184" s="2"/>
      <c r="AR184" s="276"/>
    </row>
    <row r="185" spans="13:44" ht="18" customHeight="1" x14ac:dyDescent="0.45">
      <c r="M185" s="5"/>
      <c r="N185" s="196"/>
      <c r="O185" s="5"/>
      <c r="P185" s="192"/>
      <c r="Q185" s="3"/>
      <c r="R185" s="3"/>
      <c r="S185" s="3"/>
      <c r="T185" s="3"/>
      <c r="U185" s="1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/>
      <c r="AG185" s="3"/>
      <c r="AH185" s="3"/>
      <c r="AI185" s="3"/>
      <c r="AJ185" s="3"/>
      <c r="AK185" s="3"/>
      <c r="AL185" s="21"/>
      <c r="AM185" s="3"/>
      <c r="AN185" s="3"/>
      <c r="AO185" s="3"/>
      <c r="AP185" s="115"/>
      <c r="AQ185" s="2"/>
      <c r="AR185" s="276"/>
    </row>
    <row r="186" spans="13:44" ht="18" customHeight="1" x14ac:dyDescent="0.45">
      <c r="M186" s="5"/>
      <c r="N186" s="196"/>
      <c r="O186" s="5"/>
      <c r="P186" s="192"/>
      <c r="Q186" s="3"/>
      <c r="R186" s="3"/>
      <c r="S186" s="3"/>
      <c r="T186" s="3"/>
      <c r="U186" s="1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/>
      <c r="AG186" s="3"/>
      <c r="AH186" s="3"/>
      <c r="AI186" s="3"/>
      <c r="AJ186" s="3"/>
      <c r="AK186" s="3"/>
      <c r="AL186" s="21"/>
      <c r="AM186" s="3"/>
      <c r="AN186" s="3"/>
      <c r="AO186" s="3"/>
      <c r="AP186" s="115"/>
      <c r="AQ186" s="2"/>
      <c r="AR186" s="276"/>
    </row>
    <row r="187" spans="13:44" ht="18" customHeight="1" x14ac:dyDescent="0.45">
      <c r="M187" s="5"/>
      <c r="N187" s="196"/>
      <c r="O187" s="5"/>
      <c r="P187" s="192"/>
      <c r="Q187" s="3"/>
      <c r="R187" s="3"/>
      <c r="S187" s="3"/>
      <c r="T187" s="3"/>
      <c r="U187" s="1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/>
      <c r="AG187" s="3"/>
      <c r="AH187" s="3"/>
      <c r="AI187" s="3"/>
      <c r="AJ187" s="3"/>
      <c r="AK187" s="3"/>
      <c r="AL187" s="21"/>
      <c r="AM187" s="3"/>
      <c r="AN187" s="3"/>
      <c r="AO187" s="3"/>
      <c r="AP187" s="115"/>
      <c r="AQ187" s="2"/>
      <c r="AR187" s="276"/>
    </row>
    <row r="188" spans="13:44" ht="18" customHeight="1" x14ac:dyDescent="0.45">
      <c r="M188" s="5"/>
      <c r="N188" s="196"/>
      <c r="O188" s="5"/>
      <c r="P188" s="192"/>
      <c r="Q188" s="3"/>
      <c r="R188" s="3"/>
      <c r="S188" s="3"/>
      <c r="T188" s="3"/>
      <c r="U188" s="1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/>
      <c r="AG188" s="3"/>
      <c r="AH188" s="3"/>
      <c r="AI188" s="3"/>
      <c r="AJ188" s="3"/>
      <c r="AK188" s="3"/>
      <c r="AL188" s="21"/>
      <c r="AM188" s="3"/>
      <c r="AN188" s="3"/>
      <c r="AO188" s="3"/>
      <c r="AP188" s="115"/>
      <c r="AQ188" s="2"/>
      <c r="AR188" s="276"/>
    </row>
    <row r="189" spans="13:44" ht="18" customHeight="1" x14ac:dyDescent="0.45">
      <c r="M189" s="5"/>
      <c r="N189" s="196"/>
      <c r="O189" s="5"/>
      <c r="P189" s="192"/>
      <c r="Q189" s="3"/>
      <c r="R189" s="3"/>
      <c r="S189" s="3"/>
      <c r="T189" s="3"/>
      <c r="U189" s="1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/>
      <c r="AG189" s="3"/>
      <c r="AH189" s="3"/>
      <c r="AI189" s="3"/>
      <c r="AJ189" s="3"/>
      <c r="AK189" s="3"/>
      <c r="AL189" s="21"/>
      <c r="AM189" s="3"/>
      <c r="AN189" s="3"/>
      <c r="AO189" s="3"/>
      <c r="AP189" s="115"/>
      <c r="AQ189" s="2"/>
      <c r="AR189" s="276"/>
    </row>
    <row r="190" spans="13:44" ht="18" customHeight="1" x14ac:dyDescent="0.45">
      <c r="M190" s="5"/>
      <c r="N190" s="196"/>
      <c r="O190" s="5"/>
      <c r="P190" s="192"/>
      <c r="Q190" s="3"/>
      <c r="R190" s="3"/>
      <c r="S190" s="3"/>
      <c r="T190" s="3"/>
      <c r="U190" s="1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/>
      <c r="AG190" s="3"/>
      <c r="AH190" s="3"/>
      <c r="AI190" s="3"/>
      <c r="AJ190" s="3"/>
      <c r="AK190" s="3"/>
      <c r="AL190" s="21"/>
      <c r="AM190" s="3"/>
      <c r="AN190" s="3"/>
      <c r="AO190" s="3"/>
      <c r="AP190" s="115"/>
      <c r="AQ190" s="2"/>
      <c r="AR190" s="276"/>
    </row>
    <row r="191" spans="13:44" ht="18" customHeight="1" x14ac:dyDescent="0.45">
      <c r="M191" s="5"/>
      <c r="N191" s="196"/>
      <c r="O191" s="5"/>
      <c r="P191" s="192"/>
      <c r="Q191" s="3"/>
      <c r="R191" s="3"/>
      <c r="S191" s="3"/>
      <c r="T191" s="3"/>
      <c r="U191" s="1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/>
      <c r="AG191" s="3"/>
      <c r="AH191" s="3"/>
      <c r="AI191" s="3"/>
      <c r="AJ191" s="3"/>
      <c r="AK191" s="3"/>
      <c r="AL191" s="21"/>
      <c r="AM191" s="3"/>
      <c r="AN191" s="3"/>
      <c r="AO191" s="3"/>
      <c r="AP191" s="115"/>
      <c r="AQ191" s="2"/>
      <c r="AR191" s="276"/>
    </row>
    <row r="192" spans="13:44" ht="18" customHeight="1" x14ac:dyDescent="0.45">
      <c r="M192" s="5"/>
      <c r="N192" s="196"/>
      <c r="O192" s="5"/>
      <c r="P192" s="192"/>
      <c r="Q192" s="3"/>
      <c r="R192" s="3"/>
      <c r="S192" s="3"/>
      <c r="T192" s="3"/>
      <c r="U192" s="1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/>
      <c r="AG192" s="3"/>
      <c r="AH192" s="3"/>
      <c r="AI192" s="3"/>
      <c r="AJ192" s="3"/>
      <c r="AK192" s="3"/>
      <c r="AL192" s="21"/>
      <c r="AM192" s="3"/>
      <c r="AN192" s="3"/>
      <c r="AO192" s="3"/>
      <c r="AP192" s="115"/>
      <c r="AQ192" s="2"/>
      <c r="AR192" s="276"/>
    </row>
    <row r="193" spans="13:44" ht="18" customHeight="1" x14ac:dyDescent="0.45">
      <c r="M193" s="5"/>
      <c r="N193" s="196"/>
      <c r="O193" s="5"/>
      <c r="P193" s="192"/>
      <c r="Q193" s="3"/>
      <c r="R193" s="3"/>
      <c r="S193" s="3"/>
      <c r="T193" s="3"/>
      <c r="U193" s="1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/>
      <c r="AG193" s="3"/>
      <c r="AH193" s="3"/>
      <c r="AI193" s="3"/>
      <c r="AJ193" s="3"/>
      <c r="AK193" s="3"/>
      <c r="AL193" s="21"/>
      <c r="AO193" s="3"/>
      <c r="AQ193" s="2"/>
      <c r="AR193" s="276"/>
    </row>
    <row r="194" spans="13:44" ht="18" customHeight="1" x14ac:dyDescent="0.45">
      <c r="M194" s="5"/>
      <c r="N194" s="196"/>
      <c r="O194" s="5"/>
      <c r="P194" s="192"/>
      <c r="Q194" s="3"/>
      <c r="R194" s="3"/>
      <c r="S194" s="3"/>
      <c r="T194" s="3"/>
      <c r="U194" s="1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/>
      <c r="AG194" s="3"/>
      <c r="AH194" s="3"/>
      <c r="AI194" s="3"/>
      <c r="AJ194" s="3"/>
      <c r="AK194" s="3"/>
      <c r="AL194" s="21"/>
      <c r="AO194" s="3"/>
      <c r="AR194" s="276"/>
    </row>
    <row r="195" spans="13:44" ht="18" customHeight="1" x14ac:dyDescent="0.45">
      <c r="M195" s="5"/>
      <c r="N195" s="196"/>
      <c r="O195" s="5"/>
      <c r="P195" s="192"/>
      <c r="Q195" s="3"/>
      <c r="R195" s="3"/>
      <c r="S195" s="3"/>
      <c r="T195" s="3"/>
      <c r="U195" s="1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/>
      <c r="AG195" s="3"/>
      <c r="AH195" s="3"/>
      <c r="AI195" s="3"/>
      <c r="AJ195" s="3"/>
      <c r="AK195" s="3"/>
      <c r="AL195" s="21"/>
      <c r="AO195" s="3"/>
      <c r="AR195" s="276"/>
    </row>
    <row r="196" spans="13:44" ht="18" customHeight="1" x14ac:dyDescent="0.45">
      <c r="M196" s="5"/>
      <c r="N196" s="196"/>
      <c r="O196" s="5"/>
      <c r="P196" s="192"/>
      <c r="Q196" s="3"/>
      <c r="R196" s="3"/>
      <c r="S196" s="3"/>
      <c r="T196" s="3"/>
      <c r="U196" s="1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/>
      <c r="AG196" s="3"/>
      <c r="AH196" s="3"/>
      <c r="AI196" s="3"/>
      <c r="AJ196" s="3"/>
      <c r="AK196" s="3"/>
      <c r="AL196" s="21"/>
      <c r="AO196" s="3"/>
      <c r="AR196" s="276"/>
    </row>
    <row r="197" spans="13:44" ht="18" customHeight="1" x14ac:dyDescent="0.45">
      <c r="M197" s="5"/>
      <c r="N197" s="196"/>
      <c r="O197" s="5"/>
      <c r="P197" s="192"/>
      <c r="Q197" s="3"/>
      <c r="R197" s="3"/>
      <c r="S197" s="3"/>
      <c r="T197" s="3"/>
      <c r="U197" s="1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/>
      <c r="AG197" s="3"/>
      <c r="AH197" s="3"/>
      <c r="AI197" s="3"/>
      <c r="AJ197" s="3"/>
      <c r="AK197" s="3"/>
      <c r="AL197" s="21"/>
      <c r="AO197" s="3"/>
      <c r="AR197" s="276"/>
    </row>
    <row r="198" spans="13:44" ht="18" customHeight="1" x14ac:dyDescent="0.45">
      <c r="M198" s="5"/>
      <c r="N198" s="196"/>
      <c r="O198" s="5"/>
      <c r="P198" s="192"/>
      <c r="Q198" s="3"/>
      <c r="R198" s="3"/>
      <c r="S198" s="3"/>
      <c r="T198" s="3"/>
      <c r="U198" s="1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/>
      <c r="AG198" s="3"/>
      <c r="AH198" s="3"/>
      <c r="AI198" s="3"/>
      <c r="AJ198" s="3"/>
      <c r="AK198" s="3"/>
      <c r="AL198" s="21"/>
      <c r="AO198" s="3"/>
      <c r="AR198" s="276"/>
    </row>
    <row r="199" spans="13:44" ht="18" customHeight="1" x14ac:dyDescent="0.45">
      <c r="M199" s="5"/>
      <c r="N199" s="196"/>
      <c r="O199" s="5"/>
      <c r="P199" s="192"/>
      <c r="Q199" s="3"/>
      <c r="R199" s="3"/>
      <c r="S199" s="3"/>
      <c r="T199" s="3"/>
      <c r="U199" s="1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/>
      <c r="AG199" s="3"/>
      <c r="AH199" s="3"/>
      <c r="AI199" s="3"/>
      <c r="AJ199" s="3"/>
      <c r="AK199" s="3"/>
      <c r="AL199" s="21"/>
      <c r="AO199" s="3"/>
      <c r="AR199" s="276"/>
    </row>
    <row r="200" spans="13:44" ht="18" customHeight="1" x14ac:dyDescent="0.45">
      <c r="M200" s="5"/>
      <c r="N200" s="196"/>
      <c r="O200" s="5"/>
      <c r="P200" s="192"/>
      <c r="Q200" s="3"/>
      <c r="R200" s="3"/>
      <c r="S200" s="3"/>
      <c r="T200" s="3"/>
      <c r="U200" s="1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/>
      <c r="AG200" s="3"/>
      <c r="AH200" s="3"/>
      <c r="AI200" s="3"/>
      <c r="AJ200" s="3"/>
      <c r="AK200" s="3"/>
      <c r="AL200" s="21"/>
      <c r="AR200" s="276"/>
    </row>
    <row r="201" spans="13:44" ht="18" customHeight="1" x14ac:dyDescent="0.45">
      <c r="M201" s="5"/>
      <c r="N201" s="196"/>
      <c r="O201" s="5"/>
      <c r="P201" s="192"/>
      <c r="Q201" s="3"/>
      <c r="R201" s="3"/>
      <c r="S201" s="3"/>
      <c r="T201" s="3"/>
      <c r="U201" s="1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/>
      <c r="AG201" s="3"/>
      <c r="AH201" s="3"/>
      <c r="AI201" s="3"/>
      <c r="AJ201" s="3"/>
      <c r="AK201" s="3"/>
      <c r="AL201" s="21"/>
      <c r="AR201" s="276"/>
    </row>
    <row r="202" spans="13:44" ht="18" customHeight="1" x14ac:dyDescent="0.45">
      <c r="M202" s="5"/>
      <c r="N202" s="196"/>
      <c r="O202" s="5"/>
      <c r="P202" s="192"/>
      <c r="Q202" s="3"/>
      <c r="R202" s="3"/>
      <c r="S202" s="3"/>
      <c r="T202" s="3"/>
      <c r="U202" s="1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/>
      <c r="AG202" s="3"/>
      <c r="AH202" s="3"/>
      <c r="AI202" s="3"/>
      <c r="AJ202" s="3"/>
      <c r="AK202" s="3"/>
      <c r="AL202" s="21"/>
      <c r="AR202" s="276"/>
    </row>
    <row r="203" spans="13:44" ht="18" customHeight="1" x14ac:dyDescent="0.45">
      <c r="M203" s="5"/>
      <c r="N203" s="196"/>
      <c r="O203" s="5"/>
      <c r="P203" s="192"/>
      <c r="Q203" s="3"/>
      <c r="R203" s="3"/>
      <c r="S203" s="3"/>
      <c r="T203" s="3"/>
      <c r="U203" s="1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/>
      <c r="AG203" s="3"/>
      <c r="AH203" s="3"/>
      <c r="AI203" s="3"/>
      <c r="AJ203" s="3"/>
      <c r="AK203" s="3"/>
      <c r="AL203" s="21"/>
      <c r="AR203" s="276"/>
    </row>
    <row r="204" spans="13:44" ht="33.75" x14ac:dyDescent="0.45">
      <c r="M204" s="5"/>
      <c r="N204" s="196"/>
      <c r="O204" s="5"/>
      <c r="P204" s="192"/>
      <c r="Q204" s="3"/>
      <c r="R204" s="3"/>
      <c r="S204" s="3"/>
      <c r="T204" s="3"/>
      <c r="U204" s="1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/>
      <c r="AG204" s="3"/>
      <c r="AH204" s="3"/>
      <c r="AI204" s="3"/>
      <c r="AJ204" s="3"/>
      <c r="AK204" s="3"/>
      <c r="AL204" s="21"/>
      <c r="AR204" s="276"/>
    </row>
    <row r="205" spans="13:44" ht="33.75" x14ac:dyDescent="0.4">
      <c r="M205" s="5"/>
      <c r="N205" s="196"/>
      <c r="O205" s="5"/>
      <c r="P205" s="192"/>
      <c r="Q205" s="3"/>
      <c r="R205" s="3"/>
      <c r="S205" s="3"/>
      <c r="T205" s="3"/>
      <c r="U205" s="1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/>
      <c r="AG205" s="3"/>
      <c r="AH205" s="3"/>
      <c r="AI205" s="3"/>
      <c r="AJ205" s="3"/>
      <c r="AK205" s="3"/>
      <c r="AL205" s="21"/>
    </row>
    <row r="206" spans="13:44" ht="18" customHeight="1" x14ac:dyDescent="0.4">
      <c r="M206" s="5"/>
      <c r="N206" s="196"/>
      <c r="O206" s="5"/>
      <c r="P206" s="192"/>
      <c r="Q206" s="3"/>
      <c r="R206" s="3"/>
      <c r="S206" s="3"/>
      <c r="T206" s="3"/>
      <c r="U206" s="1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/>
      <c r="AG206" s="3"/>
      <c r="AH206" s="3"/>
      <c r="AI206" s="3"/>
      <c r="AJ206" s="3"/>
      <c r="AK206" s="3"/>
      <c r="AL206" s="21"/>
    </row>
    <row r="207" spans="13:44" ht="18" customHeight="1" x14ac:dyDescent="0.4">
      <c r="M207" s="5"/>
      <c r="N207" s="196"/>
      <c r="O207" s="5"/>
      <c r="P207" s="192"/>
      <c r="Q207" s="3"/>
      <c r="R207" s="3"/>
      <c r="S207" s="3"/>
      <c r="T207" s="3"/>
      <c r="U207" s="1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/>
      <c r="AG207" s="3"/>
      <c r="AH207" s="3"/>
      <c r="AI207" s="3"/>
      <c r="AJ207" s="3"/>
      <c r="AK207" s="3"/>
      <c r="AL207" s="21"/>
    </row>
    <row r="208" spans="13:44" ht="18" customHeight="1" x14ac:dyDescent="0.4">
      <c r="M208" s="5"/>
      <c r="N208" s="196"/>
      <c r="O208" s="5"/>
      <c r="P208" s="192"/>
      <c r="Q208" s="3"/>
      <c r="R208" s="3"/>
      <c r="S208" s="3"/>
      <c r="T208" s="3"/>
      <c r="U208" s="1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/>
      <c r="AG208" s="3"/>
      <c r="AH208" s="3"/>
      <c r="AI208" s="3"/>
      <c r="AJ208" s="3"/>
      <c r="AK208" s="3"/>
      <c r="AL208" s="21"/>
    </row>
    <row r="209" spans="13:38" ht="18" customHeight="1" x14ac:dyDescent="0.4">
      <c r="M209" s="5"/>
      <c r="N209" s="196"/>
      <c r="O209" s="5"/>
      <c r="P209" s="192"/>
      <c r="Q209" s="3"/>
      <c r="R209" s="3"/>
      <c r="S209" s="3"/>
      <c r="T209" s="3"/>
      <c r="U209" s="1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/>
      <c r="AG209" s="3"/>
      <c r="AH209" s="3"/>
      <c r="AI209" s="3"/>
      <c r="AJ209" s="3"/>
      <c r="AK209" s="3"/>
      <c r="AL209" s="21"/>
    </row>
    <row r="210" spans="13:38" ht="18" customHeight="1" x14ac:dyDescent="0.4">
      <c r="M210" s="5"/>
      <c r="N210" s="196"/>
      <c r="O210" s="5"/>
      <c r="P210" s="192"/>
      <c r="Q210" s="3"/>
      <c r="R210" s="3"/>
      <c r="S210" s="3"/>
      <c r="T210" s="3"/>
      <c r="U210" s="1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/>
      <c r="AG210" s="3"/>
      <c r="AH210" s="3"/>
      <c r="AI210" s="3"/>
      <c r="AJ210" s="3"/>
      <c r="AK210" s="3"/>
      <c r="AL210" s="21"/>
    </row>
    <row r="211" spans="13:38" ht="18" customHeight="1" x14ac:dyDescent="0.4">
      <c r="M211" s="5"/>
      <c r="N211" s="196"/>
      <c r="O211" s="5"/>
      <c r="P211" s="192"/>
      <c r="Q211" s="3"/>
      <c r="R211" s="3"/>
      <c r="S211" s="3"/>
      <c r="T211" s="3"/>
      <c r="U211" s="1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/>
      <c r="AG211" s="3"/>
      <c r="AH211" s="3"/>
      <c r="AI211" s="3"/>
      <c r="AJ211" s="3"/>
      <c r="AK211" s="3"/>
      <c r="AL211" s="21"/>
    </row>
    <row r="212" spans="13:38" ht="18" customHeight="1" x14ac:dyDescent="0.4">
      <c r="M212" s="5"/>
      <c r="N212" s="196"/>
      <c r="O212" s="5"/>
      <c r="P212" s="192"/>
      <c r="Q212" s="3"/>
      <c r="R212" s="3"/>
      <c r="S212" s="3"/>
      <c r="T212" s="3"/>
      <c r="U212" s="1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/>
      <c r="AG212" s="3"/>
      <c r="AH212" s="3"/>
      <c r="AI212" s="3"/>
      <c r="AJ212" s="3"/>
      <c r="AK212" s="3"/>
      <c r="AL212" s="21"/>
    </row>
    <row r="213" spans="13:38" ht="18" customHeight="1" x14ac:dyDescent="0.4">
      <c r="M213" s="5"/>
      <c r="N213" s="196"/>
      <c r="O213" s="5"/>
      <c r="P213" s="192"/>
      <c r="Q213" s="3"/>
      <c r="R213" s="3"/>
      <c r="S213" s="3"/>
      <c r="T213" s="3"/>
      <c r="U213" s="1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/>
      <c r="AG213" s="3"/>
      <c r="AH213" s="3"/>
      <c r="AI213" s="3"/>
      <c r="AJ213" s="3"/>
      <c r="AK213" s="3"/>
      <c r="AL213" s="21"/>
    </row>
    <row r="214" spans="13:38" ht="18" customHeight="1" x14ac:dyDescent="0.4">
      <c r="M214" s="5"/>
      <c r="N214" s="196"/>
      <c r="O214" s="5"/>
      <c r="P214" s="192"/>
      <c r="Q214" s="3"/>
      <c r="R214" s="3"/>
      <c r="S214" s="3"/>
      <c r="T214" s="3"/>
      <c r="U214" s="1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/>
      <c r="AG214" s="3"/>
      <c r="AH214" s="3"/>
      <c r="AI214" s="3"/>
      <c r="AJ214" s="3"/>
      <c r="AK214" s="3"/>
      <c r="AL214" s="21"/>
    </row>
    <row r="215" spans="13:38" ht="18" customHeight="1" x14ac:dyDescent="0.4">
      <c r="M215" s="5"/>
      <c r="N215" s="196"/>
      <c r="O215" s="5"/>
      <c r="P215" s="192"/>
      <c r="Q215" s="3"/>
      <c r="R215" s="3"/>
      <c r="S215" s="3"/>
      <c r="T215" s="3"/>
      <c r="U215" s="1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/>
    </row>
    <row r="216" spans="13:38" ht="18" customHeight="1" x14ac:dyDescent="0.4">
      <c r="M216" s="5"/>
      <c r="N216" s="196"/>
      <c r="O216" s="5"/>
      <c r="P216" s="192"/>
      <c r="Q216" s="3"/>
      <c r="R216" s="3"/>
      <c r="S216" s="3"/>
      <c r="T216" s="3"/>
      <c r="U216" s="1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/>
      <c r="AG216" s="3"/>
      <c r="AH216" s="3"/>
      <c r="AI216" s="3"/>
      <c r="AJ216" s="3"/>
      <c r="AK216" s="3"/>
      <c r="AL216" s="21"/>
    </row>
    <row r="217" spans="13:38" ht="18" customHeight="1" x14ac:dyDescent="0.4">
      <c r="M217" s="5"/>
      <c r="N217" s="196"/>
      <c r="O217" s="5"/>
      <c r="P217" s="192"/>
      <c r="Q217" s="3"/>
      <c r="R217" s="3"/>
      <c r="S217" s="3"/>
      <c r="T217" s="3"/>
      <c r="U217" s="1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/>
      <c r="AG217" s="3"/>
      <c r="AH217" s="3"/>
      <c r="AI217" s="3"/>
      <c r="AJ217" s="3"/>
      <c r="AK217" s="3"/>
      <c r="AL217" s="21"/>
    </row>
    <row r="218" spans="13:38" ht="18" customHeight="1" x14ac:dyDescent="0.4">
      <c r="M218" s="5"/>
      <c r="N218" s="196"/>
      <c r="O218" s="5"/>
      <c r="P218" s="192"/>
      <c r="Q218" s="3"/>
      <c r="R218" s="3"/>
      <c r="S218" s="3"/>
      <c r="T218" s="3"/>
      <c r="U218" s="1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/>
      <c r="AG218" s="3"/>
      <c r="AH218" s="3"/>
      <c r="AI218" s="3"/>
      <c r="AJ218" s="3"/>
      <c r="AK218" s="3"/>
      <c r="AL218" s="21"/>
    </row>
    <row r="219" spans="13:38" ht="18" customHeight="1" x14ac:dyDescent="0.4">
      <c r="M219" s="5"/>
      <c r="N219" s="196"/>
      <c r="O219" s="5"/>
      <c r="P219" s="192"/>
      <c r="Q219" s="3"/>
      <c r="R219" s="3"/>
      <c r="S219" s="3"/>
      <c r="T219" s="3"/>
      <c r="U219" s="1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/>
      <c r="AG219" s="3"/>
      <c r="AH219" s="3"/>
      <c r="AI219" s="3"/>
      <c r="AJ219" s="3"/>
      <c r="AK219" s="3"/>
      <c r="AL219" s="21"/>
    </row>
    <row r="220" spans="13:38" ht="39.75" customHeight="1" x14ac:dyDescent="0.4">
      <c r="M220" s="5"/>
      <c r="N220" s="196"/>
      <c r="O220" s="5"/>
      <c r="P220" s="192"/>
      <c r="Q220" s="3"/>
      <c r="R220" s="3"/>
      <c r="S220" s="3"/>
      <c r="T220" s="3"/>
      <c r="U220" s="1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/>
      <c r="AG220" s="3"/>
      <c r="AH220" s="3"/>
      <c r="AI220" s="3"/>
      <c r="AJ220" s="3"/>
      <c r="AK220" s="3"/>
      <c r="AL220" s="21"/>
    </row>
    <row r="221" spans="13:38" ht="39.75" customHeight="1" x14ac:dyDescent="0.4">
      <c r="M221" s="5"/>
      <c r="N221" s="196"/>
      <c r="O221" s="5"/>
      <c r="P221" s="192"/>
      <c r="Q221" s="3"/>
      <c r="R221" s="3"/>
      <c r="S221" s="3"/>
      <c r="T221" s="3"/>
      <c r="U221" s="1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/>
      <c r="AG221" s="3"/>
      <c r="AH221" s="3"/>
      <c r="AI221" s="3"/>
      <c r="AJ221" s="3"/>
      <c r="AK221" s="3"/>
      <c r="AL221" s="21"/>
    </row>
    <row r="222" spans="13:38" ht="18" customHeight="1" x14ac:dyDescent="0.4">
      <c r="M222" s="5"/>
      <c r="N222" s="196"/>
      <c r="O222" s="5"/>
      <c r="P222" s="192"/>
      <c r="Q222" s="3"/>
      <c r="R222" s="3"/>
      <c r="S222" s="3"/>
      <c r="T222" s="3"/>
      <c r="U222" s="1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/>
      <c r="AG222" s="3"/>
      <c r="AH222" s="3"/>
      <c r="AI222" s="3"/>
      <c r="AJ222" s="3"/>
      <c r="AK222" s="3"/>
      <c r="AL222" s="21"/>
    </row>
    <row r="223" spans="13:38" ht="18" customHeight="1" x14ac:dyDescent="0.4">
      <c r="M223" s="5"/>
      <c r="N223" s="196"/>
      <c r="O223" s="5"/>
      <c r="P223" s="192"/>
      <c r="Q223" s="3"/>
      <c r="R223" s="3"/>
      <c r="S223" s="3"/>
      <c r="T223" s="3"/>
      <c r="U223" s="1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/>
      <c r="AG223" s="3"/>
      <c r="AH223" s="3"/>
      <c r="AI223" s="3"/>
      <c r="AJ223" s="3"/>
      <c r="AK223" s="3"/>
      <c r="AL223" s="21"/>
    </row>
    <row r="224" spans="13:38" ht="18" customHeight="1" x14ac:dyDescent="0.4">
      <c r="M224" s="5"/>
      <c r="N224" s="196"/>
      <c r="O224" s="5"/>
      <c r="P224" s="192"/>
      <c r="Q224" s="3"/>
      <c r="R224" s="3"/>
      <c r="S224" s="3"/>
      <c r="T224" s="3"/>
      <c r="U224" s="1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/>
      <c r="AG224" s="3"/>
      <c r="AH224" s="3"/>
      <c r="AI224" s="3"/>
      <c r="AJ224" s="3"/>
      <c r="AK224" s="3"/>
      <c r="AL224" s="21"/>
    </row>
    <row r="225" spans="13:38" ht="18" customHeight="1" x14ac:dyDescent="0.4">
      <c r="M225" s="5"/>
      <c r="N225" s="196"/>
      <c r="O225" s="5"/>
      <c r="P225" s="192"/>
      <c r="Q225" s="3"/>
      <c r="R225" s="3"/>
      <c r="S225" s="3"/>
      <c r="T225" s="3"/>
      <c r="U225" s="1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/>
      <c r="AG225" s="3"/>
      <c r="AH225" s="3"/>
      <c r="AI225" s="3"/>
      <c r="AJ225" s="3"/>
      <c r="AK225" s="3"/>
      <c r="AL225" s="21"/>
    </row>
    <row r="226" spans="13:38" ht="18" customHeight="1" x14ac:dyDescent="0.4">
      <c r="M226" s="5"/>
      <c r="N226" s="196"/>
      <c r="O226" s="5"/>
      <c r="P226" s="192"/>
      <c r="Q226" s="3"/>
      <c r="R226" s="3"/>
      <c r="S226" s="3"/>
      <c r="T226" s="3"/>
      <c r="U226" s="1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/>
      <c r="AG226" s="3"/>
      <c r="AH226" s="3"/>
      <c r="AI226" s="3"/>
      <c r="AJ226" s="3"/>
      <c r="AK226" s="3"/>
      <c r="AL226" s="21"/>
    </row>
    <row r="227" spans="13:38" ht="18" customHeight="1" x14ac:dyDescent="0.4">
      <c r="M227" s="5"/>
      <c r="N227" s="196"/>
      <c r="O227" s="5"/>
      <c r="P227" s="192"/>
      <c r="Q227" s="3"/>
      <c r="R227" s="3"/>
      <c r="S227" s="3"/>
      <c r="T227" s="3"/>
      <c r="U227" s="1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/>
      <c r="AG227" s="3"/>
      <c r="AH227" s="3"/>
      <c r="AI227" s="3"/>
      <c r="AJ227" s="3"/>
      <c r="AK227" s="3"/>
      <c r="AL227" s="21"/>
    </row>
    <row r="228" spans="13:38" ht="18" customHeight="1" x14ac:dyDescent="0.4">
      <c r="M228" s="5"/>
      <c r="N228" s="196"/>
      <c r="O228" s="5"/>
      <c r="P228" s="192"/>
      <c r="Q228" s="3"/>
      <c r="R228" s="3"/>
      <c r="S228" s="3"/>
      <c r="T228" s="3"/>
      <c r="U228" s="1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/>
      <c r="AG228" s="3"/>
      <c r="AH228" s="3"/>
      <c r="AI228" s="3"/>
      <c r="AJ228" s="3"/>
      <c r="AK228" s="3"/>
      <c r="AL228" s="21"/>
    </row>
    <row r="229" spans="13:38" ht="18" customHeight="1" x14ac:dyDescent="0.4">
      <c r="M229" s="5"/>
      <c r="N229" s="196"/>
      <c r="O229" s="5"/>
      <c r="P229" s="192"/>
      <c r="Q229" s="3"/>
      <c r="R229" s="3"/>
      <c r="S229" s="3"/>
      <c r="T229" s="3"/>
      <c r="U229" s="1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/>
      <c r="AG229" s="3"/>
      <c r="AH229" s="3"/>
      <c r="AI229" s="3"/>
      <c r="AJ229" s="3"/>
      <c r="AK229" s="3"/>
      <c r="AL229" s="21"/>
    </row>
    <row r="230" spans="13:38" ht="18" customHeight="1" x14ac:dyDescent="0.4">
      <c r="M230" s="5"/>
      <c r="N230" s="196"/>
      <c r="O230" s="5"/>
      <c r="P230" s="192"/>
      <c r="Q230" s="3"/>
      <c r="R230" s="3"/>
      <c r="S230" s="3"/>
      <c r="T230" s="3"/>
      <c r="U230" s="1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/>
      <c r="AG230" s="3"/>
      <c r="AH230" s="3"/>
      <c r="AI230" s="3"/>
      <c r="AJ230" s="3"/>
      <c r="AK230" s="3"/>
      <c r="AL230" s="21"/>
    </row>
    <row r="231" spans="13:38" ht="18" customHeight="1" x14ac:dyDescent="0.4">
      <c r="M231" s="5"/>
      <c r="N231" s="196"/>
      <c r="O231" s="5"/>
      <c r="P231" s="192"/>
      <c r="Q231" s="3"/>
      <c r="R231" s="3"/>
      <c r="S231" s="3"/>
      <c r="T231" s="3"/>
      <c r="U231" s="1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/>
      <c r="AG231" s="3"/>
      <c r="AH231" s="3"/>
      <c r="AI231" s="3"/>
      <c r="AJ231" s="3"/>
      <c r="AK231" s="3"/>
      <c r="AL231" s="21"/>
    </row>
    <row r="232" spans="13:38" ht="18" customHeight="1" x14ac:dyDescent="0.4">
      <c r="M232" s="5"/>
      <c r="N232" s="196"/>
      <c r="O232" s="5"/>
      <c r="P232" s="192"/>
      <c r="Q232" s="3"/>
      <c r="R232" s="3"/>
      <c r="S232" s="3"/>
      <c r="T232" s="3"/>
      <c r="U232" s="1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/>
      <c r="AG232" s="3"/>
      <c r="AH232" s="3"/>
      <c r="AI232" s="3"/>
      <c r="AJ232" s="3"/>
      <c r="AK232" s="3"/>
      <c r="AL232" s="21"/>
    </row>
    <row r="233" spans="13:38" ht="18" customHeight="1" x14ac:dyDescent="0.4">
      <c r="M233" s="5"/>
      <c r="N233" s="196"/>
      <c r="O233" s="5"/>
      <c r="P233" s="192"/>
      <c r="Q233" s="3"/>
      <c r="R233" s="3"/>
      <c r="S233" s="3"/>
      <c r="T233" s="3"/>
      <c r="U233" s="1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/>
      <c r="AG233" s="3"/>
      <c r="AH233" s="3"/>
      <c r="AI233" s="3"/>
      <c r="AJ233" s="3"/>
      <c r="AK233" s="3"/>
      <c r="AL233" s="21"/>
    </row>
    <row r="234" spans="13:38" ht="18" customHeight="1" x14ac:dyDescent="0.4">
      <c r="M234" s="5"/>
      <c r="N234" s="196"/>
      <c r="O234" s="5"/>
      <c r="P234" s="192"/>
      <c r="Q234" s="3"/>
      <c r="R234" s="3"/>
      <c r="S234" s="3"/>
      <c r="T234" s="3"/>
      <c r="U234" s="1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/>
      <c r="AG234" s="3"/>
      <c r="AH234" s="3"/>
      <c r="AI234" s="3"/>
      <c r="AJ234" s="3"/>
      <c r="AK234" s="3"/>
      <c r="AL234" s="21"/>
    </row>
    <row r="235" spans="13:38" ht="18" customHeight="1" x14ac:dyDescent="0.4">
      <c r="M235" s="5"/>
      <c r="N235" s="196"/>
      <c r="O235" s="5"/>
      <c r="P235" s="192"/>
      <c r="Q235" s="3"/>
      <c r="R235" s="3"/>
      <c r="S235" s="3"/>
      <c r="T235" s="3"/>
      <c r="U235" s="1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/>
      <c r="AG235" s="3"/>
      <c r="AH235" s="3"/>
      <c r="AI235" s="3"/>
      <c r="AJ235" s="3"/>
      <c r="AK235" s="3"/>
      <c r="AL235" s="21"/>
    </row>
    <row r="236" spans="13:38" ht="18" customHeight="1" x14ac:dyDescent="0.4">
      <c r="M236" s="5"/>
      <c r="N236" s="196"/>
      <c r="O236" s="5"/>
      <c r="P236" s="192"/>
      <c r="Q236" s="3"/>
      <c r="R236" s="3"/>
      <c r="S236" s="3"/>
      <c r="T236" s="3"/>
      <c r="U236" s="1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/>
      <c r="AG236" s="3"/>
      <c r="AH236" s="3"/>
      <c r="AI236" s="3"/>
      <c r="AJ236" s="3"/>
      <c r="AK236" s="3"/>
      <c r="AL236" s="21"/>
    </row>
    <row r="237" spans="13:38" ht="18" customHeight="1" x14ac:dyDescent="0.4">
      <c r="M237" s="5"/>
      <c r="N237" s="196"/>
      <c r="O237" s="5"/>
      <c r="P237" s="192"/>
      <c r="Q237" s="3"/>
      <c r="R237" s="3"/>
      <c r="S237" s="3"/>
      <c r="T237" s="3"/>
      <c r="U237" s="1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/>
      <c r="AG237" s="3"/>
      <c r="AH237" s="3"/>
      <c r="AI237" s="3"/>
      <c r="AJ237" s="3"/>
      <c r="AK237" s="3"/>
      <c r="AL237" s="21"/>
    </row>
    <row r="238" spans="13:38" ht="18" customHeight="1" x14ac:dyDescent="0.4">
      <c r="M238" s="5"/>
      <c r="N238" s="196"/>
      <c r="O238" s="5"/>
      <c r="P238" s="192"/>
      <c r="Q238" s="3"/>
      <c r="R238" s="3"/>
      <c r="S238" s="3"/>
      <c r="T238" s="3"/>
      <c r="U238" s="1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/>
      <c r="AG238" s="3"/>
      <c r="AH238" s="3"/>
      <c r="AI238" s="3"/>
      <c r="AJ238" s="3"/>
      <c r="AK238" s="3"/>
      <c r="AL238" s="21"/>
    </row>
    <row r="239" spans="13:38" ht="18" customHeight="1" x14ac:dyDescent="0.4">
      <c r="M239" s="5"/>
      <c r="N239" s="196"/>
      <c r="O239" s="5"/>
      <c r="P239" s="192"/>
      <c r="Q239" s="3"/>
      <c r="R239" s="3"/>
      <c r="S239" s="3"/>
      <c r="T239" s="3"/>
      <c r="U239" s="1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/>
      <c r="AG239" s="3"/>
      <c r="AH239" s="3"/>
      <c r="AI239" s="3"/>
      <c r="AJ239" s="3"/>
      <c r="AK239" s="3"/>
      <c r="AL239" s="21"/>
    </row>
    <row r="240" spans="13:38" ht="18" customHeight="1" x14ac:dyDescent="0.4">
      <c r="M240" s="5"/>
      <c r="N240" s="196"/>
      <c r="O240" s="5"/>
      <c r="P240" s="192"/>
      <c r="Q240" s="3"/>
      <c r="R240" s="3"/>
      <c r="S240" s="3"/>
      <c r="T240" s="3"/>
      <c r="U240" s="1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/>
      <c r="AG240" s="3"/>
      <c r="AH240" s="3"/>
      <c r="AI240" s="3"/>
      <c r="AJ240" s="3"/>
      <c r="AK240" s="3"/>
      <c r="AL240" s="21"/>
    </row>
    <row r="241" spans="13:38" ht="18" customHeight="1" x14ac:dyDescent="0.4">
      <c r="M241" s="5"/>
      <c r="N241" s="196"/>
      <c r="O241" s="5"/>
      <c r="P241" s="192"/>
      <c r="Q241" s="3"/>
      <c r="R241" s="3"/>
      <c r="S241" s="3"/>
      <c r="T241" s="3"/>
      <c r="U241" s="1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/>
      <c r="AG241" s="3"/>
      <c r="AH241" s="3"/>
      <c r="AI241" s="3"/>
      <c r="AJ241" s="3"/>
      <c r="AK241" s="3"/>
      <c r="AL241" s="21"/>
    </row>
    <row r="242" spans="13:38" ht="18" customHeight="1" x14ac:dyDescent="0.4">
      <c r="M242" s="5"/>
      <c r="N242" s="196"/>
      <c r="O242" s="5"/>
      <c r="P242" s="192"/>
      <c r="Q242" s="3"/>
      <c r="R242" s="3"/>
      <c r="S242" s="3"/>
      <c r="T242" s="3"/>
      <c r="U242" s="1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/>
      <c r="AG242" s="3"/>
      <c r="AH242" s="3"/>
      <c r="AI242" s="3"/>
      <c r="AJ242" s="3"/>
      <c r="AK242" s="3"/>
      <c r="AL242" s="21"/>
    </row>
    <row r="243" spans="13:38" ht="18" customHeight="1" x14ac:dyDescent="0.4">
      <c r="M243" s="5"/>
      <c r="N243" s="196"/>
      <c r="O243" s="5"/>
      <c r="P243" s="192"/>
      <c r="Q243" s="3"/>
      <c r="R243" s="3"/>
      <c r="S243" s="3"/>
      <c r="T243" s="3"/>
      <c r="U243" s="1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/>
      <c r="AG243" s="3"/>
      <c r="AH243" s="3"/>
      <c r="AI243" s="3"/>
      <c r="AJ243" s="3"/>
      <c r="AK243" s="3"/>
      <c r="AL243" s="21"/>
    </row>
    <row r="244" spans="13:38" ht="18" customHeight="1" x14ac:dyDescent="0.4">
      <c r="M244" s="5"/>
      <c r="N244" s="196"/>
      <c r="O244" s="5"/>
      <c r="P244" s="192"/>
      <c r="Q244" s="3"/>
      <c r="R244" s="3"/>
      <c r="S244" s="3"/>
      <c r="T244" s="3"/>
      <c r="U244" s="1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/>
      <c r="AG244" s="3"/>
      <c r="AH244" s="3"/>
      <c r="AI244" s="3"/>
      <c r="AJ244" s="3"/>
      <c r="AK244" s="3"/>
      <c r="AL244" s="21"/>
    </row>
    <row r="245" spans="13:38" ht="18" customHeight="1" x14ac:dyDescent="0.4">
      <c r="M245" s="5"/>
      <c r="N245" s="196"/>
      <c r="O245" s="5"/>
      <c r="P245" s="192"/>
      <c r="Q245" s="3"/>
      <c r="R245" s="3"/>
      <c r="S245" s="3"/>
      <c r="T245" s="3"/>
      <c r="U245" s="1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/>
      <c r="AG245" s="3"/>
      <c r="AH245" s="3"/>
      <c r="AI245" s="3"/>
      <c r="AJ245" s="3"/>
      <c r="AK245" s="3"/>
      <c r="AL245" s="21"/>
    </row>
    <row r="246" spans="13:38" ht="18" customHeight="1" x14ac:dyDescent="0.4">
      <c r="M246" s="5"/>
      <c r="N246" s="196"/>
      <c r="O246" s="5"/>
      <c r="P246" s="192"/>
      <c r="Q246" s="3"/>
      <c r="R246" s="3"/>
      <c r="S246" s="3"/>
      <c r="T246" s="3"/>
      <c r="U246" s="1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/>
      <c r="AG246" s="3"/>
      <c r="AH246" s="3"/>
      <c r="AI246" s="3"/>
      <c r="AJ246" s="3"/>
      <c r="AK246" s="3"/>
      <c r="AL246" s="21"/>
    </row>
    <row r="247" spans="13:38" ht="18" customHeight="1" x14ac:dyDescent="0.4">
      <c r="M247" s="5"/>
      <c r="N247" s="196"/>
      <c r="O247" s="5"/>
      <c r="P247" s="192"/>
      <c r="Q247" s="3"/>
      <c r="R247" s="3"/>
      <c r="S247" s="3"/>
      <c r="T247" s="3"/>
      <c r="U247" s="1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/>
      <c r="AG247" s="3"/>
      <c r="AH247" s="3"/>
      <c r="AI247" s="3"/>
      <c r="AJ247" s="3"/>
      <c r="AK247" s="3"/>
      <c r="AL247" s="21"/>
    </row>
    <row r="248" spans="13:38" ht="18" customHeight="1" x14ac:dyDescent="0.4">
      <c r="M248" s="5"/>
      <c r="N248" s="196"/>
      <c r="O248" s="5"/>
      <c r="P248" s="192"/>
      <c r="Q248" s="3"/>
      <c r="R248" s="3"/>
      <c r="S248" s="3"/>
      <c r="T248" s="3"/>
      <c r="U248" s="1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/>
      <c r="AG248" s="3"/>
      <c r="AH248" s="3"/>
      <c r="AI248" s="3"/>
      <c r="AJ248" s="3"/>
      <c r="AK248" s="3"/>
      <c r="AL248" s="21"/>
    </row>
    <row r="249" spans="13:38" ht="33.75" x14ac:dyDescent="0.4">
      <c r="M249" s="5"/>
      <c r="N249" s="196"/>
      <c r="O249" s="5"/>
      <c r="P249" s="192"/>
      <c r="Q249" s="3"/>
      <c r="R249" s="3"/>
      <c r="S249" s="3"/>
      <c r="T249" s="3"/>
      <c r="U249" s="1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/>
      <c r="AG249" s="3"/>
      <c r="AH249" s="3"/>
      <c r="AI249" s="3"/>
      <c r="AJ249" s="3"/>
      <c r="AK249" s="3"/>
      <c r="AL249" s="21"/>
    </row>
    <row r="250" spans="13:38" ht="33.75" x14ac:dyDescent="0.4">
      <c r="M250" s="5"/>
      <c r="N250" s="196"/>
      <c r="O250" s="5"/>
      <c r="P250" s="192"/>
      <c r="Q250" s="3"/>
      <c r="R250" s="3"/>
      <c r="S250" s="3"/>
      <c r="T250" s="3"/>
      <c r="U250" s="1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/>
      <c r="AG250" s="3"/>
      <c r="AH250" s="3"/>
      <c r="AI250" s="3"/>
      <c r="AJ250" s="3"/>
      <c r="AK250" s="3"/>
      <c r="AL250" s="21"/>
    </row>
    <row r="251" spans="13:38" ht="33.75" x14ac:dyDescent="0.4">
      <c r="M251" s="5"/>
      <c r="N251" s="196"/>
      <c r="O251" s="5"/>
      <c r="P251" s="192"/>
      <c r="Q251" s="3"/>
      <c r="R251" s="3"/>
      <c r="S251" s="3"/>
      <c r="T251" s="3"/>
      <c r="U251" s="1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/>
      <c r="AG251" s="3"/>
      <c r="AH251" s="3"/>
      <c r="AI251" s="3"/>
      <c r="AJ251" s="3"/>
      <c r="AK251" s="3"/>
      <c r="AL251" s="21"/>
    </row>
    <row r="252" spans="13:38" ht="33.75" x14ac:dyDescent="0.4">
      <c r="M252" s="5"/>
      <c r="N252" s="196"/>
      <c r="O252" s="5"/>
      <c r="P252" s="192"/>
      <c r="Q252" s="3"/>
      <c r="R252" s="3"/>
      <c r="S252" s="3"/>
      <c r="T252" s="3"/>
      <c r="U252" s="1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/>
      <c r="AG252" s="3"/>
      <c r="AH252" s="3"/>
      <c r="AI252" s="3"/>
      <c r="AJ252" s="3"/>
      <c r="AK252" s="3"/>
      <c r="AL252" s="21"/>
    </row>
    <row r="253" spans="13:38" ht="33.75" x14ac:dyDescent="0.4">
      <c r="M253" s="5"/>
      <c r="N253" s="196"/>
      <c r="O253" s="5"/>
      <c r="P253" s="192"/>
      <c r="Q253" s="3"/>
      <c r="R253" s="3"/>
      <c r="S253" s="3"/>
      <c r="T253" s="3"/>
      <c r="U253" s="1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/>
      <c r="AG253" s="3"/>
      <c r="AH253" s="3"/>
      <c r="AI253" s="3"/>
      <c r="AJ253" s="3"/>
      <c r="AK253" s="3"/>
      <c r="AL253" s="21"/>
    </row>
    <row r="254" spans="13:38" ht="33.75" x14ac:dyDescent="0.4">
      <c r="M254" s="5"/>
      <c r="N254" s="196"/>
      <c r="O254" s="5"/>
      <c r="P254" s="192"/>
      <c r="Q254" s="3"/>
      <c r="R254" s="3"/>
      <c r="S254" s="3"/>
      <c r="T254" s="3"/>
      <c r="U254" s="1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/>
      <c r="AG254" s="3"/>
      <c r="AH254" s="3"/>
      <c r="AI254" s="3"/>
      <c r="AJ254" s="3"/>
      <c r="AK254" s="3"/>
      <c r="AL254" s="21"/>
    </row>
    <row r="255" spans="13:38" ht="33.75" x14ac:dyDescent="0.4">
      <c r="M255" s="5"/>
      <c r="N255" s="196"/>
      <c r="O255" s="5"/>
      <c r="P255" s="192"/>
      <c r="Q255" s="3"/>
      <c r="R255" s="3"/>
      <c r="S255" s="3"/>
      <c r="T255" s="3"/>
      <c r="U255" s="1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/>
      <c r="AG255" s="3"/>
      <c r="AH255" s="3"/>
      <c r="AI255" s="3"/>
      <c r="AJ255" s="3"/>
      <c r="AK255" s="3"/>
      <c r="AL255" s="21"/>
    </row>
    <row r="256" spans="13:38" ht="33.75" x14ac:dyDescent="0.4">
      <c r="M256" s="5"/>
      <c r="N256" s="196"/>
      <c r="O256" s="5"/>
      <c r="P256" s="192"/>
      <c r="Q256" s="3"/>
      <c r="R256" s="3"/>
      <c r="S256" s="3"/>
      <c r="T256" s="3"/>
      <c r="U256" s="1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/>
      <c r="AG256" s="3"/>
      <c r="AH256" s="3"/>
      <c r="AI256" s="3"/>
      <c r="AJ256" s="3"/>
      <c r="AK256" s="3"/>
      <c r="AL256" s="21"/>
    </row>
    <row r="257" spans="13:38" ht="33.75" x14ac:dyDescent="0.4">
      <c r="M257" s="5"/>
      <c r="N257" s="196"/>
      <c r="O257" s="5"/>
      <c r="P257" s="192"/>
      <c r="Q257" s="3"/>
      <c r="R257" s="3"/>
      <c r="S257" s="3"/>
      <c r="T257" s="3"/>
      <c r="U257" s="1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/>
      <c r="AG257" s="3"/>
      <c r="AH257" s="3"/>
      <c r="AI257" s="3"/>
      <c r="AJ257" s="3"/>
      <c r="AK257" s="3"/>
      <c r="AL257" s="21"/>
    </row>
    <row r="258" spans="13:38" ht="33.75" x14ac:dyDescent="0.4">
      <c r="M258" s="5"/>
      <c r="N258" s="196"/>
      <c r="O258" s="5"/>
      <c r="P258" s="192"/>
      <c r="Q258" s="3"/>
      <c r="R258" s="3"/>
      <c r="S258" s="3"/>
      <c r="T258" s="3"/>
      <c r="U258" s="1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/>
      <c r="AG258" s="3"/>
      <c r="AH258" s="3"/>
      <c r="AI258" s="3"/>
      <c r="AJ258" s="3"/>
      <c r="AK258" s="3"/>
      <c r="AL258" s="21"/>
    </row>
    <row r="259" spans="13:38" ht="33.75" x14ac:dyDescent="0.4">
      <c r="M259" s="5"/>
      <c r="N259" s="196"/>
      <c r="O259" s="5"/>
      <c r="P259" s="192"/>
      <c r="Q259" s="3"/>
      <c r="R259" s="3"/>
      <c r="S259" s="3"/>
      <c r="T259" s="3"/>
      <c r="U259" s="1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/>
      <c r="AG259" s="3"/>
      <c r="AH259" s="3"/>
      <c r="AI259" s="3"/>
      <c r="AJ259" s="3"/>
      <c r="AK259" s="3"/>
      <c r="AL259" s="21"/>
    </row>
    <row r="260" spans="13:38" ht="33.75" x14ac:dyDescent="0.4">
      <c r="M260" s="5"/>
      <c r="N260" s="196"/>
      <c r="O260" s="5"/>
      <c r="P260" s="192"/>
      <c r="Q260" s="3"/>
      <c r="R260" s="3"/>
      <c r="S260" s="3"/>
      <c r="T260" s="3"/>
      <c r="U260" s="1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/>
      <c r="AG260" s="3"/>
      <c r="AH260" s="3"/>
      <c r="AI260" s="3"/>
      <c r="AJ260" s="3"/>
      <c r="AK260" s="3"/>
      <c r="AL260" s="21"/>
    </row>
    <row r="261" spans="13:38" ht="33.75" x14ac:dyDescent="0.4">
      <c r="M261" s="5"/>
      <c r="N261" s="196"/>
      <c r="O261" s="5"/>
      <c r="P261" s="192"/>
      <c r="Q261" s="3"/>
      <c r="R261" s="3"/>
      <c r="S261" s="3"/>
      <c r="T261" s="3"/>
      <c r="U261" s="1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/>
      <c r="AG261" s="3"/>
      <c r="AH261" s="3"/>
      <c r="AI261" s="3"/>
      <c r="AJ261" s="3"/>
      <c r="AK261" s="3"/>
      <c r="AL261" s="21"/>
    </row>
    <row r="262" spans="13:38" ht="33.75" x14ac:dyDescent="0.4">
      <c r="M262" s="5"/>
      <c r="N262" s="196"/>
      <c r="O262" s="5"/>
      <c r="P262" s="192"/>
      <c r="Q262" s="3"/>
      <c r="R262" s="3"/>
      <c r="S262" s="3"/>
      <c r="T262" s="3"/>
      <c r="U262" s="1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/>
      <c r="AG262" s="3"/>
      <c r="AH262" s="3"/>
      <c r="AI262" s="3"/>
      <c r="AJ262" s="3"/>
      <c r="AK262" s="3"/>
      <c r="AL262" s="21"/>
    </row>
    <row r="263" spans="13:38" ht="33.75" x14ac:dyDescent="0.4">
      <c r="M263" s="5"/>
      <c r="N263" s="196"/>
      <c r="O263" s="5"/>
      <c r="P263" s="192"/>
      <c r="Q263" s="3"/>
      <c r="R263" s="3"/>
      <c r="S263" s="3"/>
      <c r="T263" s="3"/>
      <c r="U263" s="1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/>
      <c r="AG263" s="3"/>
      <c r="AH263" s="3"/>
      <c r="AI263" s="3"/>
      <c r="AJ263" s="3"/>
      <c r="AK263" s="3"/>
      <c r="AL263" s="21"/>
    </row>
    <row r="264" spans="13:38" ht="33.75" x14ac:dyDescent="0.4">
      <c r="M264" s="5"/>
      <c r="N264" s="196"/>
      <c r="O264" s="5"/>
      <c r="P264" s="192"/>
      <c r="Q264" s="3"/>
      <c r="R264" s="3"/>
      <c r="S264" s="3"/>
      <c r="T264" s="3"/>
      <c r="U264" s="1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/>
      <c r="AG264" s="3"/>
      <c r="AH264" s="3"/>
      <c r="AI264" s="3"/>
      <c r="AJ264" s="3"/>
      <c r="AK264" s="3"/>
      <c r="AL264" s="21"/>
    </row>
    <row r="265" spans="13:38" ht="33.75" x14ac:dyDescent="0.4">
      <c r="M265" s="5"/>
      <c r="N265" s="196"/>
      <c r="O265" s="5"/>
      <c r="P265" s="192"/>
      <c r="Q265" s="3"/>
      <c r="R265" s="3"/>
      <c r="S265" s="3"/>
      <c r="T265" s="3"/>
      <c r="U265" s="1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/>
      <c r="AG265" s="3"/>
      <c r="AH265" s="3"/>
      <c r="AI265" s="3"/>
      <c r="AJ265" s="3"/>
      <c r="AK265" s="3"/>
      <c r="AL265" s="21"/>
    </row>
    <row r="266" spans="13:38" ht="33.75" x14ac:dyDescent="0.4">
      <c r="M266" s="5"/>
      <c r="N266" s="196"/>
      <c r="O266" s="5"/>
      <c r="P266" s="192"/>
      <c r="Q266" s="3"/>
      <c r="R266" s="3"/>
      <c r="S266" s="3"/>
      <c r="T266" s="3"/>
      <c r="U266" s="1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/>
      <c r="AG266" s="3"/>
      <c r="AH266" s="3"/>
      <c r="AI266" s="3"/>
      <c r="AJ266" s="3"/>
      <c r="AK266" s="3"/>
      <c r="AL266" s="21"/>
    </row>
    <row r="267" spans="13:38" ht="33.75" x14ac:dyDescent="0.4">
      <c r="M267" s="5"/>
      <c r="N267" s="196"/>
      <c r="O267" s="5"/>
      <c r="P267" s="192"/>
      <c r="Q267" s="3"/>
      <c r="R267" s="3"/>
      <c r="S267" s="3"/>
      <c r="T267" s="3"/>
      <c r="U267" s="1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/>
      <c r="AG267" s="3"/>
      <c r="AH267" s="3"/>
      <c r="AI267" s="3"/>
      <c r="AJ267" s="3"/>
      <c r="AK267" s="3"/>
      <c r="AL267" s="21"/>
    </row>
    <row r="268" spans="13:38" ht="33.75" x14ac:dyDescent="0.4">
      <c r="M268" s="5"/>
      <c r="N268" s="196"/>
      <c r="O268" s="5"/>
      <c r="P268" s="192"/>
      <c r="Q268" s="3"/>
      <c r="R268" s="3"/>
      <c r="S268" s="3"/>
      <c r="T268" s="3"/>
      <c r="U268" s="1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/>
      <c r="AG268" s="3"/>
      <c r="AH268" s="3"/>
      <c r="AI268" s="3"/>
      <c r="AJ268" s="3"/>
      <c r="AK268" s="3"/>
      <c r="AL268" s="21"/>
    </row>
    <row r="269" spans="13:38" ht="33.75" x14ac:dyDescent="0.4">
      <c r="M269" s="5"/>
      <c r="N269" s="196"/>
      <c r="O269" s="5"/>
      <c r="P269" s="192"/>
      <c r="Q269" s="3"/>
      <c r="R269" s="3"/>
      <c r="S269" s="3"/>
      <c r="T269" s="3"/>
      <c r="U269" s="1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/>
      <c r="AG269" s="3"/>
      <c r="AH269" s="3"/>
      <c r="AI269" s="3"/>
      <c r="AJ269" s="3"/>
      <c r="AK269" s="3"/>
      <c r="AL269" s="21"/>
    </row>
    <row r="270" spans="13:38" ht="33.75" x14ac:dyDescent="0.4">
      <c r="M270" s="5"/>
      <c r="N270" s="196"/>
      <c r="O270" s="5"/>
      <c r="P270" s="192"/>
      <c r="Q270" s="3"/>
      <c r="R270" s="3"/>
      <c r="S270" s="3"/>
      <c r="T270" s="3"/>
      <c r="U270" s="1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/>
      <c r="AG270" s="3"/>
      <c r="AH270" s="3"/>
      <c r="AI270" s="3"/>
      <c r="AJ270" s="3"/>
      <c r="AK270" s="3"/>
      <c r="AL270" s="21"/>
    </row>
    <row r="271" spans="13:38" ht="33.75" x14ac:dyDescent="0.4">
      <c r="M271" s="5"/>
      <c r="N271" s="196"/>
      <c r="O271" s="5"/>
      <c r="P271" s="192"/>
      <c r="Q271" s="3"/>
      <c r="R271" s="3"/>
      <c r="S271" s="3"/>
      <c r="T271" s="3"/>
      <c r="U271" s="1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/>
      <c r="AG271" s="3"/>
      <c r="AH271" s="3"/>
      <c r="AI271" s="3"/>
      <c r="AJ271" s="3"/>
      <c r="AK271" s="3"/>
      <c r="AL271" s="21"/>
    </row>
    <row r="272" spans="13:38" ht="33.75" x14ac:dyDescent="0.4">
      <c r="M272" s="5"/>
      <c r="N272" s="196"/>
      <c r="O272" s="5"/>
      <c r="P272" s="192"/>
      <c r="Q272" s="3"/>
      <c r="R272" s="3"/>
      <c r="S272" s="3"/>
      <c r="T272" s="3"/>
      <c r="U272" s="1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/>
      <c r="AG272" s="3"/>
      <c r="AH272" s="3"/>
      <c r="AI272" s="3"/>
      <c r="AJ272" s="3"/>
      <c r="AK272" s="3"/>
      <c r="AL272" s="21"/>
    </row>
    <row r="273" spans="13:38" ht="33.75" x14ac:dyDescent="0.4">
      <c r="M273" s="5"/>
      <c r="N273" s="196"/>
      <c r="O273" s="5"/>
      <c r="P273" s="192"/>
      <c r="Q273" s="3"/>
      <c r="R273" s="3"/>
      <c r="S273" s="3"/>
      <c r="T273" s="3"/>
      <c r="U273" s="1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/>
      <c r="AG273" s="3"/>
      <c r="AH273" s="3"/>
      <c r="AI273" s="3"/>
      <c r="AJ273" s="3"/>
      <c r="AK273" s="3"/>
      <c r="AL273" s="21"/>
    </row>
    <row r="274" spans="13:38" ht="33.75" x14ac:dyDescent="0.4">
      <c r="M274" s="5"/>
      <c r="N274" s="196"/>
      <c r="O274" s="5"/>
      <c r="P274" s="192"/>
      <c r="Q274" s="3"/>
      <c r="R274" s="3"/>
      <c r="S274" s="3"/>
      <c r="T274" s="3"/>
      <c r="U274" s="1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/>
      <c r="AG274" s="3"/>
      <c r="AH274" s="3"/>
      <c r="AI274" s="3"/>
      <c r="AJ274" s="3"/>
      <c r="AK274" s="3"/>
      <c r="AL274" s="21"/>
    </row>
    <row r="275" spans="13:38" ht="33.75" x14ac:dyDescent="0.4">
      <c r="M275" s="5"/>
      <c r="N275" s="196"/>
      <c r="O275" s="5"/>
      <c r="P275" s="192"/>
      <c r="Q275" s="3"/>
      <c r="R275" s="3"/>
      <c r="S275" s="3"/>
      <c r="T275" s="3"/>
      <c r="U275" s="1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/>
      <c r="AG275" s="3"/>
      <c r="AH275" s="3"/>
      <c r="AI275" s="3"/>
      <c r="AJ275" s="3"/>
      <c r="AK275" s="3"/>
      <c r="AL275" s="21"/>
    </row>
    <row r="276" spans="13:38" x14ac:dyDescent="0.4">
      <c r="M276" s="5"/>
      <c r="P276" s="209"/>
      <c r="Q276" s="15"/>
      <c r="R276" s="16"/>
    </row>
    <row r="277" spans="13:38" x14ac:dyDescent="0.4">
      <c r="M277" s="5"/>
    </row>
    <row r="278" spans="13:38" x14ac:dyDescent="0.4">
      <c r="M278" s="5"/>
    </row>
    <row r="279" spans="13:38" x14ac:dyDescent="0.4">
      <c r="M279" s="5"/>
    </row>
    <row r="280" spans="13:38" x14ac:dyDescent="0.4">
      <c r="M280" s="5"/>
    </row>
    <row r="281" spans="13:38" x14ac:dyDescent="0.4">
      <c r="M281" s="5"/>
    </row>
    <row r="282" spans="13:38" x14ac:dyDescent="0.4">
      <c r="M282" s="5"/>
    </row>
  </sheetData>
  <mergeCells count="78">
    <mergeCell ref="H134:J134"/>
    <mergeCell ref="H135:J135"/>
    <mergeCell ref="AP1:AS1"/>
    <mergeCell ref="AP81:AS81"/>
    <mergeCell ref="AP83:AS83"/>
    <mergeCell ref="D85:J86"/>
    <mergeCell ref="C81:I81"/>
    <mergeCell ref="D2:K2"/>
    <mergeCell ref="D3:K3"/>
    <mergeCell ref="H129:J129"/>
    <mergeCell ref="H130:J130"/>
    <mergeCell ref="H131:J131"/>
    <mergeCell ref="H132:J132"/>
    <mergeCell ref="H133:J133"/>
    <mergeCell ref="H124:J124"/>
    <mergeCell ref="H118:J118"/>
    <mergeCell ref="H126:J126"/>
    <mergeCell ref="H127:J127"/>
    <mergeCell ref="H128:J128"/>
    <mergeCell ref="H119:J119"/>
    <mergeCell ref="H120:J120"/>
    <mergeCell ref="H121:J121"/>
    <mergeCell ref="H122:J122"/>
    <mergeCell ref="H123:J123"/>
    <mergeCell ref="H114:J114"/>
    <mergeCell ref="H115:J115"/>
    <mergeCell ref="H116:J116"/>
    <mergeCell ref="H117:J117"/>
    <mergeCell ref="H125:J125"/>
    <mergeCell ref="H109:J109"/>
    <mergeCell ref="H110:J110"/>
    <mergeCell ref="H111:J111"/>
    <mergeCell ref="H112:J112"/>
    <mergeCell ref="H113:J113"/>
    <mergeCell ref="H104:J104"/>
    <mergeCell ref="H105:J105"/>
    <mergeCell ref="H106:J106"/>
    <mergeCell ref="H107:J107"/>
    <mergeCell ref="H108:J108"/>
    <mergeCell ref="H99:J99"/>
    <mergeCell ref="H100:J100"/>
    <mergeCell ref="H101:J101"/>
    <mergeCell ref="H102:J102"/>
    <mergeCell ref="H103:J103"/>
    <mergeCell ref="O2:Y2"/>
    <mergeCell ref="AA2:AH2"/>
    <mergeCell ref="AG80:AN80"/>
    <mergeCell ref="T80:AD80"/>
    <mergeCell ref="L9:L11"/>
    <mergeCell ref="L15:L21"/>
    <mergeCell ref="B34:B38"/>
    <mergeCell ref="C34:C37"/>
    <mergeCell ref="L34:L35"/>
    <mergeCell ref="C38:C42"/>
    <mergeCell ref="L40:L44"/>
    <mergeCell ref="C24:C27"/>
    <mergeCell ref="K26:K27"/>
    <mergeCell ref="D30:K31"/>
    <mergeCell ref="D70:D75"/>
    <mergeCell ref="C74:C76"/>
    <mergeCell ref="I18:J24"/>
    <mergeCell ref="I44:J49"/>
    <mergeCell ref="G155:H158"/>
    <mergeCell ref="D151:I151"/>
    <mergeCell ref="I53:J55"/>
    <mergeCell ref="H67:I67"/>
    <mergeCell ref="H87:J87"/>
    <mergeCell ref="H88:J88"/>
    <mergeCell ref="H89:J89"/>
    <mergeCell ref="H90:J90"/>
    <mergeCell ref="H91:J91"/>
    <mergeCell ref="H92:J92"/>
    <mergeCell ref="H93:J93"/>
    <mergeCell ref="H94:J94"/>
    <mergeCell ref="H95:J95"/>
    <mergeCell ref="H96:J96"/>
    <mergeCell ref="H97:J97"/>
    <mergeCell ref="H98:J98"/>
  </mergeCells>
  <conditionalFormatting sqref="AX81 AS79:AS80">
    <cfRule type="cellIs" dxfId="90" priority="11150" operator="equal">
      <formula>"RM"</formula>
    </cfRule>
    <cfRule type="cellIs" dxfId="89" priority="11151" operator="equal">
      <formula>"V"</formula>
    </cfRule>
  </conditionalFormatting>
  <conditionalFormatting sqref="AV92 AX81">
    <cfRule type="cellIs" dxfId="88" priority="8098" operator="equal">
      <formula>"DD"</formula>
    </cfRule>
  </conditionalFormatting>
  <conditionalFormatting sqref="AV92 AX81 AP124 AU89:AU92 AU95 AP105:AP106 AP92:AP103 AU125 AU118 AP108:AP122 AP126 AU106 AU110 AP128:AP130 AU130:AU157">
    <cfRule type="cellIs" dxfId="87" priority="7356" operator="equal">
      <formula>203</formula>
    </cfRule>
  </conditionalFormatting>
  <conditionalFormatting sqref="AX81">
    <cfRule type="cellIs" dxfId="86" priority="3604" operator="equal">
      <formula>"RM"</formula>
    </cfRule>
    <cfRule type="cellIs" dxfId="85" priority="3605" operator="equal">
      <formula>"V"</formula>
    </cfRule>
    <cfRule type="cellIs" dxfId="84" priority="3606" operator="equal">
      <formula>"DD"</formula>
    </cfRule>
  </conditionalFormatting>
  <conditionalFormatting sqref="AP124 AU89:AU92 AU95 AP105:AP106 AP92:AP103 AU125 AU118 AP108:AP122 AP126 AU106 AU110 AP128:AP130 AU130:AU157">
    <cfRule type="cellIs" dxfId="83" priority="3306" operator="equal">
      <formula>"DD"</formula>
    </cfRule>
    <cfRule type="cellIs" dxfId="82" priority="3307" operator="equal">
      <formula>"RM"</formula>
    </cfRule>
    <cfRule type="cellIs" dxfId="81" priority="3308" operator="equal">
      <formula>"V"</formula>
    </cfRule>
  </conditionalFormatting>
  <conditionalFormatting sqref="AS79:AS80">
    <cfRule type="cellIs" dxfId="80" priority="3248" operator="equal">
      <formula>"DD"</formula>
    </cfRule>
  </conditionalFormatting>
  <conditionalFormatting sqref="AS79:AS80">
    <cfRule type="cellIs" dxfId="79" priority="3250" operator="equal">
      <formula>"RM"</formula>
    </cfRule>
  </conditionalFormatting>
  <conditionalFormatting sqref="AS79:AS80">
    <cfRule type="cellIs" dxfId="78" priority="3251" operator="equal">
      <formula>"V"</formula>
    </cfRule>
  </conditionalFormatting>
  <conditionalFormatting sqref="AS79:AS80">
    <cfRule type="cellIs" dxfId="77" priority="3249" operator="equal">
      <formula>"RM"</formula>
    </cfRule>
  </conditionalFormatting>
  <conditionalFormatting sqref="AW92 AR2:AR80">
    <cfRule type="duplicateValues" dxfId="76" priority="11246" stopIfTrue="1"/>
  </conditionalFormatting>
  <conditionalFormatting sqref="AP79:AP80">
    <cfRule type="cellIs" dxfId="75" priority="312" operator="equal">
      <formula>"DD"</formula>
    </cfRule>
  </conditionalFormatting>
  <conditionalFormatting sqref="AP79:AP80">
    <cfRule type="cellIs" dxfId="74" priority="306" operator="equal">
      <formula>"RM"</formula>
    </cfRule>
  </conditionalFormatting>
  <conditionalFormatting sqref="AQ79:AQ80">
    <cfRule type="cellIs" dxfId="73" priority="279" operator="equal">
      <formula>"DD"</formula>
    </cfRule>
  </conditionalFormatting>
  <conditionalFormatting sqref="AQ79:AQ80">
    <cfRule type="cellIs" dxfId="72" priority="273" operator="equal">
      <formula>"RM"</formula>
    </cfRule>
  </conditionalFormatting>
  <conditionalFormatting sqref="AS67:AS69">
    <cfRule type="cellIs" dxfId="71" priority="157" operator="equal">
      <formula>"V"</formula>
    </cfRule>
    <cfRule type="cellIs" dxfId="70" priority="158" operator="equal">
      <formula>"DD"</formula>
    </cfRule>
    <cfRule type="cellIs" dxfId="69" priority="159" operator="equal">
      <formula>"RM"</formula>
    </cfRule>
    <cfRule type="cellIs" dxfId="68" priority="160" operator="equal">
      <formula>"RM"</formula>
    </cfRule>
    <cfRule type="cellIs" dxfId="67" priority="161" operator="equal">
      <formula>203</formula>
    </cfRule>
  </conditionalFormatting>
  <conditionalFormatting sqref="AS2:AS38">
    <cfRule type="cellIs" dxfId="66" priority="155" operator="equal">
      <formula>"DD"</formula>
    </cfRule>
  </conditionalFormatting>
  <conditionalFormatting sqref="AS2:AS38">
    <cfRule type="cellIs" dxfId="65" priority="153" operator="equal">
      <formula>"RM"</formula>
    </cfRule>
  </conditionalFormatting>
  <conditionalFormatting sqref="AS2:AS38">
    <cfRule type="cellIs" dxfId="64" priority="154" operator="equal">
      <formula>"V"</formula>
    </cfRule>
  </conditionalFormatting>
  <conditionalFormatting sqref="AS2:AS38">
    <cfRule type="cellIs" dxfId="63" priority="152" operator="equal">
      <formula>"RM"</formula>
    </cfRule>
  </conditionalFormatting>
  <conditionalFormatting sqref="AS39">
    <cfRule type="cellIs" dxfId="62" priority="151" operator="equal">
      <formula>"DD"</formula>
    </cfRule>
  </conditionalFormatting>
  <conditionalFormatting sqref="AS39">
    <cfRule type="cellIs" dxfId="61" priority="149" operator="equal">
      <formula>"RM"</formula>
    </cfRule>
    <cfRule type="cellIs" dxfId="60" priority="150" operator="equal">
      <formula>"V"</formula>
    </cfRule>
  </conditionalFormatting>
  <conditionalFormatting sqref="AS40:AS41">
    <cfRule type="cellIs" dxfId="59" priority="145" operator="equal">
      <formula>"DD"</formula>
    </cfRule>
  </conditionalFormatting>
  <conditionalFormatting sqref="AS40:AS41">
    <cfRule type="cellIs" dxfId="58" priority="147" operator="equal">
      <formula>"RM"</formula>
    </cfRule>
  </conditionalFormatting>
  <conditionalFormatting sqref="AS40:AS41">
    <cfRule type="cellIs" dxfId="57" priority="148" operator="equal">
      <formula>"V"</formula>
    </cfRule>
  </conditionalFormatting>
  <conditionalFormatting sqref="AS40:AS41">
    <cfRule type="cellIs" dxfId="56" priority="146" operator="equal">
      <formula>"RM"</formula>
    </cfRule>
  </conditionalFormatting>
  <conditionalFormatting sqref="AS42">
    <cfRule type="cellIs" dxfId="55" priority="144" operator="equal">
      <formula>"DD"</formula>
    </cfRule>
  </conditionalFormatting>
  <conditionalFormatting sqref="AS42">
    <cfRule type="cellIs" dxfId="54" priority="142" operator="equal">
      <formula>"RM"</formula>
    </cfRule>
    <cfRule type="cellIs" dxfId="53" priority="143" operator="equal">
      <formula>"V"</formula>
    </cfRule>
  </conditionalFormatting>
  <conditionalFormatting sqref="AS43:AS48">
    <cfRule type="cellIs" dxfId="52" priority="141" operator="equal">
      <formula>"DD"</formula>
    </cfRule>
  </conditionalFormatting>
  <conditionalFormatting sqref="AS43:AS48">
    <cfRule type="cellIs" dxfId="51" priority="139" operator="equal">
      <formula>"RM"</formula>
    </cfRule>
    <cfRule type="cellIs" dxfId="50" priority="140" operator="equal">
      <formula>"V"</formula>
    </cfRule>
  </conditionalFormatting>
  <conditionalFormatting sqref="AS54">
    <cfRule type="cellIs" dxfId="49" priority="138" operator="equal">
      <formula>203</formula>
    </cfRule>
  </conditionalFormatting>
  <conditionalFormatting sqref="AS50:AS51 AS54">
    <cfRule type="cellIs" dxfId="48" priority="134" operator="equal">
      <formula>"DD"</formula>
    </cfRule>
  </conditionalFormatting>
  <conditionalFormatting sqref="AS50:AS51 AS54">
    <cfRule type="cellIs" dxfId="47" priority="136" operator="equal">
      <formula>"RM"</formula>
    </cfRule>
  </conditionalFormatting>
  <conditionalFormatting sqref="AS50:AS51 AS54">
    <cfRule type="cellIs" dxfId="46" priority="137" operator="equal">
      <formula>"V"</formula>
    </cfRule>
  </conditionalFormatting>
  <conditionalFormatting sqref="AS50:AS51 AS54">
    <cfRule type="cellIs" dxfId="45" priority="135" operator="equal">
      <formula>"RM"</formula>
    </cfRule>
  </conditionalFormatting>
  <conditionalFormatting sqref="AS49">
    <cfRule type="cellIs" dxfId="44" priority="133" operator="equal">
      <formula>"DD"</formula>
    </cfRule>
  </conditionalFormatting>
  <conditionalFormatting sqref="AS49">
    <cfRule type="cellIs" dxfId="43" priority="131" operator="equal">
      <formula>"RM"</formula>
    </cfRule>
    <cfRule type="cellIs" dxfId="42" priority="132" operator="equal">
      <formula>"V"</formula>
    </cfRule>
  </conditionalFormatting>
  <conditionalFormatting sqref="AS52:AS53">
    <cfRule type="cellIs" dxfId="41" priority="130" operator="equal">
      <formula>"DD"</formula>
    </cfRule>
  </conditionalFormatting>
  <conditionalFormatting sqref="AS52:AS53">
    <cfRule type="cellIs" dxfId="40" priority="128" operator="equal">
      <formula>"RM"</formula>
    </cfRule>
    <cfRule type="cellIs" dxfId="39" priority="129" operator="equal">
      <formula>"V"</formula>
    </cfRule>
  </conditionalFormatting>
  <conditionalFormatting sqref="AS55:AS56">
    <cfRule type="cellIs" dxfId="38" priority="127" operator="equal">
      <formula>"DD"</formula>
    </cfRule>
  </conditionalFormatting>
  <conditionalFormatting sqref="AS55:AS56">
    <cfRule type="cellIs" dxfId="37" priority="125" operator="equal">
      <formula>"RM"</formula>
    </cfRule>
    <cfRule type="cellIs" dxfId="36" priority="126" operator="equal">
      <formula>"V"</formula>
    </cfRule>
  </conditionalFormatting>
  <conditionalFormatting sqref="AS57:AS64">
    <cfRule type="cellIs" dxfId="35" priority="124" operator="equal">
      <formula>"DD"</formula>
    </cfRule>
  </conditionalFormatting>
  <conditionalFormatting sqref="AS57:AS64">
    <cfRule type="cellIs" dxfId="34" priority="122" operator="equal">
      <formula>"RM"</formula>
    </cfRule>
  </conditionalFormatting>
  <conditionalFormatting sqref="AS57:AS64">
    <cfRule type="cellIs" dxfId="33" priority="123" operator="equal">
      <formula>"V"</formula>
    </cfRule>
  </conditionalFormatting>
  <conditionalFormatting sqref="AS57:AS64">
    <cfRule type="cellIs" dxfId="32" priority="121" operator="equal">
      <formula>"RM"</formula>
    </cfRule>
  </conditionalFormatting>
  <conditionalFormatting sqref="AS57:AS64">
    <cfRule type="cellIs" dxfId="31" priority="120" operator="equal">
      <formula>203</formula>
    </cfRule>
  </conditionalFormatting>
  <conditionalFormatting sqref="AS66">
    <cfRule type="cellIs" dxfId="30" priority="118" operator="equal">
      <formula>"RM"</formula>
    </cfRule>
    <cfRule type="cellIs" dxfId="29" priority="119" operator="equal">
      <formula>"V"</formula>
    </cfRule>
  </conditionalFormatting>
  <conditionalFormatting sqref="AS65:AS66">
    <cfRule type="cellIs" dxfId="28" priority="117" operator="equal">
      <formula>"DD"</formula>
    </cfRule>
  </conditionalFormatting>
  <conditionalFormatting sqref="AS65">
    <cfRule type="cellIs" dxfId="27" priority="116" operator="equal">
      <formula>203</formula>
    </cfRule>
  </conditionalFormatting>
  <conditionalFormatting sqref="AS65">
    <cfRule type="cellIs" dxfId="26" priority="114" operator="equal">
      <formula>"RM"</formula>
    </cfRule>
  </conditionalFormatting>
  <conditionalFormatting sqref="AS65">
    <cfRule type="cellIs" dxfId="25" priority="115" operator="equal">
      <formula>"V"</formula>
    </cfRule>
  </conditionalFormatting>
  <conditionalFormatting sqref="AS65">
    <cfRule type="cellIs" dxfId="24" priority="113" operator="equal">
      <formula>"RM"</formula>
    </cfRule>
  </conditionalFormatting>
  <conditionalFormatting sqref="AS71:AS72 AS74:AS78">
    <cfRule type="cellIs" dxfId="23" priority="111" operator="equal">
      <formula>"RM"</formula>
    </cfRule>
    <cfRule type="cellIs" dxfId="22" priority="112" operator="equal">
      <formula>"V"</formula>
    </cfRule>
  </conditionalFormatting>
  <conditionalFormatting sqref="AS71:AS72">
    <cfRule type="cellIs" dxfId="21" priority="110" operator="equal">
      <formula>"DD"</formula>
    </cfRule>
  </conditionalFormatting>
  <conditionalFormatting sqref="AS71:AS72">
    <cfRule type="cellIs" dxfId="20" priority="109" operator="equal">
      <formula>403</formula>
    </cfRule>
  </conditionalFormatting>
  <conditionalFormatting sqref="AS74:AS78">
    <cfRule type="cellIs" dxfId="19" priority="105" operator="equal">
      <formula>"DD"</formula>
    </cfRule>
  </conditionalFormatting>
  <conditionalFormatting sqref="AS74:AS78">
    <cfRule type="cellIs" dxfId="18" priority="107" operator="equal">
      <formula>"RM"</formula>
    </cfRule>
  </conditionalFormatting>
  <conditionalFormatting sqref="AS74:AS78">
    <cfRule type="cellIs" dxfId="17" priority="108" operator="equal">
      <formula>"V"</formula>
    </cfRule>
  </conditionalFormatting>
  <conditionalFormatting sqref="AS74:AS78">
    <cfRule type="cellIs" dxfId="16" priority="106" operator="equal">
      <formula>"RM"</formula>
    </cfRule>
  </conditionalFormatting>
  <conditionalFormatting sqref="AP2:AP37 AP70:AP78">
    <cfRule type="cellIs" dxfId="7" priority="5" operator="equal">
      <formula>"RM"</formula>
    </cfRule>
    <cfRule type="cellIs" dxfId="6" priority="6" operator="equal">
      <formula>"DD"</formula>
    </cfRule>
  </conditionalFormatting>
  <conditionalFormatting sqref="AP38:AP69">
    <cfRule type="cellIs" dxfId="5" priority="7" operator="equal">
      <formula>"RM"</formula>
    </cfRule>
    <cfRule type="cellIs" dxfId="4" priority="8" operator="equal">
      <formula>"DD"</formula>
    </cfRule>
  </conditionalFormatting>
  <conditionalFormatting sqref="AQ2:AQ37 AQ70:AQ78">
    <cfRule type="cellIs" dxfId="3" priority="1" operator="equal">
      <formula>"RM"</formula>
    </cfRule>
    <cfRule type="cellIs" dxfId="2" priority="2" operator="equal">
      <formula>"DD"</formula>
    </cfRule>
  </conditionalFormatting>
  <conditionalFormatting sqref="AQ38:AQ69">
    <cfRule type="cellIs" dxfId="1" priority="3" operator="equal">
      <formula>"RM"</formula>
    </cfRule>
    <cfRule type="cellIs" dxfId="0" priority="4" operator="equal">
      <formula>"DD"</formula>
    </cfRule>
  </conditionalFormatting>
  <printOptions horizontalCentered="1" verticalCentered="1"/>
  <pageMargins left="0" right="0" top="0" bottom="0" header="0" footer="0"/>
  <pageSetup paperSize="9" scale="28" orientation="landscape" r:id="rId1"/>
  <rowBreaks count="1" manualBreakCount="1">
    <brk id="79" max="16383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2026-07-30T20:49:58Z</dcterms:modified>
</cp:coreProperties>
</file>